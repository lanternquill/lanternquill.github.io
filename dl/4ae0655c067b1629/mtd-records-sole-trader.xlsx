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Setup" sheetId="2" state="visible" r:id="rId2"/>
    <sheet name="Summary" sheetId="3" state="visible" r:id="rId3"/>
    <sheet name="Deadlines" sheetId="4" state="visible" r:id="rId4"/>
    <sheet name="Lists" sheetId="5" state="hidden" r:id="rId5"/>
    <sheet name="SE Income" sheetId="6" state="visible" r:id="rId6"/>
    <sheet name="SE Expenses" sheetId="7" state="visible" r:id="rId7"/>
    <sheet name="Mileage" sheetId="8" state="visible" r:id="rId8"/>
  </sheets>
  <definedNames>
    <definedName name="list_SE_Income">Lists!$A$2:$A$3</definedName>
    <definedName name="list_SE_Expenses">Lists!$B$2:$B$14</definedName>
    <definedName name="list_Basis">Lists!$C$2:$C$3</definedName>
    <definedName name="list_YesNo">Lists!$D$2:$D$3</definedName>
    <definedName name="list_Vehicle">Lists!$E$2:$E$3</definedName>
    <definedName name="TaxYear">Setup!$B$5</definedName>
    <definedName name="Basis">Setup!$B$6</definedName>
    <definedName name="IsCalendar">Setup!$B$13</definedName>
    <definedName name="YearStart">Setup!$B$14</definedName>
    <definedName name="YearEnd">Setup!$B$15</definedName>
    <definedName name="RateCar1">Setup!$B$16</definedName>
    <definedName name="RateCar2">Setup!$B$17</definedName>
    <definedName name="RateMoto">Setup!$B$18</definedName>
    <definedName name="P1End">Deadlines!$C$5</definedName>
    <definedName name="P2End">Deadlines!$C$6</definedName>
    <definedName name="P3End">Deadlines!$C$7</definedName>
    <definedName name="P4End">Deadlines!$C$8</definedName>
    <definedName name="SE_Income_Date">'SE Income'!$A$5:$A$1004</definedName>
    <definedName name="SE_Income_Cat">'SE Income'!$C$5:$C$1004</definedName>
    <definedName name="SE_Income_Amt">'SE Income'!$D$5:$D$1004</definedName>
    <definedName name="SE_Expenses_Date">'SE Expenses'!$A$5:$A$1004</definedName>
    <definedName name="SE_Expenses_Cat">'SE Expenses'!$C$5:$C$1004</definedName>
    <definedName name="SE_Expenses_Amt">'SE Expenses'!$D$5:$D$1004</definedName>
    <definedName name="Mi_Date">Mileage!$A$5:$A$1004</definedName>
    <definedName name="Mi_Type">Mileage!$C$5:$C$1004</definedName>
    <definedName name="Mi_Miles">Mileage!$D$5:$D$1004</definedName>
    <definedName name="_xlnm._FilterDatabase" localSheetId="5" hidden="1">'SE Income'!$A$4:$G$1004</definedName>
    <definedName name="_xlnm.Print_Titles" localSheetId="5">'SE Income'!$4:$4</definedName>
    <definedName name="_xlnm._FilterDatabase" localSheetId="6" hidden="1">'SE Expenses'!$A$4:$G$1004</definedName>
    <definedName name="_xlnm.Print_Titles" localSheetId="6">'SE Expenses'!$4:$4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0.00"/>
    <numFmt numFmtId="166" formatCode="£#,##0.00;[Red]-£#,##0.00"/>
    <numFmt numFmtId="167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1A14"/>
      <sz val="11"/>
    </font>
    <font>
      <name val="Calibri"/>
      <b val="1"/>
      <color rgb="001F1A14"/>
      <sz val="18"/>
    </font>
    <font>
      <name val="Calibri"/>
      <i val="1"/>
      <color rgb="006B6257"/>
      <sz val="10"/>
    </font>
    <font>
      <name val="Calibri"/>
      <color rgb="001F1A14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BF2"/>
      </patternFill>
    </fill>
    <fill>
      <patternFill patternType="solid">
        <fgColor rgb="00EEF2F4"/>
      </patternFill>
    </fill>
    <fill>
      <patternFill patternType="solid">
        <fgColor rgb="001F3A4D"/>
      </patternFill>
    </fill>
    <fill>
      <patternFill patternType="solid">
        <fgColor rgb="00F3EDE3"/>
      </patternFill>
    </fill>
  </fills>
  <borders count="2">
    <border>
      <left/>
      <right/>
      <top/>
      <bottom/>
      <diagonal/>
    </border>
    <border>
      <left style="thin">
        <color rgb="00D8D1C2"/>
      </left>
      <right style="thin">
        <color rgb="00D8D1C2"/>
      </right>
      <top style="thin">
        <color rgb="00D8D1C2"/>
      </top>
      <bottom style="thin">
        <color rgb="00D8D1C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1" applyProtection="1" pivotButton="0" quotePrefix="0" xfId="0">
      <protection locked="0" hidden="0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1" fillId="0" borderId="0" applyAlignment="1" pivotButton="0" quotePrefix="0" xfId="0">
      <alignment horizontal="right"/>
    </xf>
    <xf numFmtId="0" fontId="5" fillId="4" borderId="1" applyAlignment="1" pivotButton="0" quotePrefix="0" xfId="0">
      <alignment vertical="center" wrapText="1"/>
    </xf>
    <xf numFmtId="166" fontId="0" fillId="3" borderId="1" pivotButton="0" quotePrefix="0" xfId="0"/>
    <xf numFmtId="166" fontId="1" fillId="5" borderId="1" pivotButton="0" quotePrefix="0" xfId="0"/>
    <xf numFmtId="166" fontId="0" fillId="5" borderId="0" pivotButton="0" quotePrefix="0" xfId="0"/>
    <xf numFmtId="166" fontId="0" fillId="3" borderId="0" pivotButton="0" quotePrefix="0" xfId="0"/>
    <xf numFmtId="0" fontId="1" fillId="3" borderId="1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Making Tax Digital for Income Tax: quarterly records</t>
        </is>
      </c>
    </row>
    <row r="2">
      <c r="A2" s="2" t="inlineStr">
        <is>
          <t>quillfox · Sole trader edition</t>
        </is>
      </c>
    </row>
    <row r="4">
      <c r="A4" s="3" t="inlineStr">
        <is>
          <t>How this workbook works</t>
        </is>
      </c>
    </row>
    <row r="5">
      <c r="A5" s="4" t="inlineStr">
        <is>
          <t>1. Go to Setup and choose your tax year and update-period basis. Everything else (period end dates, deadlines, mileage rates) is worked out for you.</t>
        </is>
      </c>
    </row>
    <row r="6">
      <c r="A6" s="4" t="inlineStr">
        <is>
          <t>2. Record every income and expense on the log sheets: date, amount and category. Those three things are what HMRC says each digital record needs. Use the dropdown categories, which are HMRC's own Self Assessment categories.</t>
        </is>
      </c>
    </row>
    <row r="7">
      <c r="A7" s="4" t="inlineStr">
        <is>
          <t>3. The Summary sheet adds your records up from the start of the tax year to the end of each update period. HMRC's quarterly updates are cumulative in exactly this way.</t>
        </is>
      </c>
    </row>
    <row r="8">
      <c r="A8" s="4" t="inlineStr">
        <is>
          <t>4. To send a quarterly update, link this workbook to HMRC-recognised bridging software. A spreadsheet cannot send updates to HMRC on its own. The bridging software reads the Summary totals through a digital link (linked cells / import). Do not retype or copy-paste totals between programs; HMRC's rules say digital links must be used.</t>
        </is>
      </c>
    </row>
    <row r="9">
      <c r="A9" s="4" t="inlineStr"/>
    </row>
    <row r="10">
      <c r="A10" s="3" t="inlineStr">
        <is>
          <t>Good to know</t>
        </is>
      </c>
    </row>
    <row r="11">
      <c r="A11" s="4" t="inlineStr">
        <is>
          <t>• Qualifying income is your total self-employment and property income BEFORE expenses. You must use MTD if it is MORE than the threshold: over £50,000 in 2024-25 → from 6 April 2026; over £30,000 in 2025-26 → from 6 April 2027; over £20,000 in 2026-27 → from 6 April 2028.</t>
        </is>
      </c>
    </row>
    <row r="12">
      <c r="A12" s="4" t="inlineStr">
        <is>
          <t>• Update deadlines are 7 August, 7 November, 7 February and 7 May. You also still submit a tax return by 31 January after the tax year ends.</t>
        </is>
      </c>
    </row>
    <row r="13">
      <c r="A13" s="4" t="inlineStr">
        <is>
          <t>• HMRC will not apply penalty points for late quarterly updates during the 2026 to 2027 tax year. After that, 4 points = a £200 penalty.</t>
        </is>
      </c>
    </row>
    <row r="14">
      <c r="A14" s="4" t="inlineStr">
        <is>
          <t>• Simplified mileage (flat rate) is shown as a memo line on the Summary sheet. GOV.UK says to apply the flat rates at the end of the tax year, and not for a vehicle you've claimed capital allowances on. Check with your software or accountant before including it in a quarterly update.</t>
        </is>
      </c>
    </row>
    <row r="15">
      <c r="A15" s="4" t="inlineStr">
        <is>
          <t>• Keep separate records (a separate copy of this workbook) for each self-employment.</t>
        </is>
      </c>
    </row>
    <row r="16">
      <c r="A16" s="4" t="inlineStr">
        <is>
          <t>• Foreign property, partnerships and exemptions are not covered by this workbook.</t>
        </is>
      </c>
    </row>
    <row r="17">
      <c r="A17" s="4" t="inlineStr"/>
    </row>
    <row r="18">
      <c r="A18" s="4" t="inlineStr">
        <is>
          <t>Colour key: cream cells are for you to fill in; blue-grey cells are calculated (locked).</t>
        </is>
      </c>
    </row>
    <row r="19">
      <c r="A19" s="4" t="inlineStr"/>
    </row>
    <row r="20">
      <c r="A20" s="3" t="inlineStr">
        <is>
          <t>Important</t>
        </is>
      </c>
    </row>
    <row r="21">
      <c r="A21" s="4" t="inlineStr">
        <is>
          <t>This workbook is a record-keeping template, not tax advice and not HMRC-recognised software. Rules can change. Check GOV.UK (gov.uk/guidance/use-making-tax-digital-for-income-tax) or an accountant. Figures were checked against GOV.UK in October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60" customWidth="1" min="3" max="3"/>
  </cols>
  <sheetData>
    <row r="1" ht="30" customHeight="1">
      <c r="A1" s="1" t="inlineStr">
        <is>
          <t>Setup</t>
        </is>
      </c>
    </row>
    <row r="2">
      <c r="A2" s="2" t="inlineStr">
        <is>
          <t>Fill in the cream cells. Calculated values are locked.</t>
        </is>
      </c>
    </row>
    <row r="4">
      <c r="A4" s="5" t="inlineStr">
        <is>
          <t>Your name / business name</t>
        </is>
      </c>
      <c r="B4" s="6" t="inlineStr"/>
      <c r="C4" s="2" t="inlineStr">
        <is>
          <t>Shown on printouts only.</t>
        </is>
      </c>
    </row>
    <row r="5">
      <c r="A5" s="5" t="inlineStr">
        <is>
          <t>Tax year starting in (e.g. 2026 for 2026-27)</t>
        </is>
      </c>
      <c r="B5" s="6" t="n">
        <v>2026</v>
      </c>
      <c r="C5" s="2" t="inlineStr">
        <is>
          <t>Enter the calendar year the tax year starts in.</t>
        </is>
      </c>
    </row>
    <row r="6">
      <c r="A6" s="5" t="inlineStr">
        <is>
          <t>Update period basis</t>
        </is>
      </c>
      <c r="B6" s="6" t="inlineStr">
        <is>
          <t>Standard (6 April to 5 April)</t>
        </is>
      </c>
      <c r="C6" s="2" t="inlineStr">
        <is>
          <t>Calendar periods suit accounting periods ending 31 March. You cannot change basis after the first update of a year.</t>
        </is>
      </c>
    </row>
    <row r="7">
      <c r="A7" s="5" t="inlineStr">
        <is>
          <t>Keep self-employment records?</t>
        </is>
      </c>
      <c r="B7" s="6" t="inlineStr">
        <is>
          <t>Yes</t>
        </is>
      </c>
      <c r="C7" s="2" t="inlineStr"/>
    </row>
    <row r="10">
      <c r="A10" s="5" t="inlineStr">
        <is>
          <t>Calculated</t>
        </is>
      </c>
    </row>
    <row r="12">
      <c r="A12" t="inlineStr">
        <is>
          <t>Tax year label</t>
        </is>
      </c>
      <c r="B12" s="7">
        <f>B5&amp;"-"&amp;RIGHT(B5+1,2)</f>
        <v/>
      </c>
    </row>
    <row r="13">
      <c r="A13" t="inlineStr">
        <is>
          <t>Calendar basis?</t>
        </is>
      </c>
      <c r="B13" s="7">
        <f>LEFT(B6,8)="Calendar"</f>
        <v/>
      </c>
    </row>
    <row r="14">
      <c r="A14" t="inlineStr">
        <is>
          <t>Records start</t>
        </is>
      </c>
      <c r="B14" s="8">
        <f>IF(B13,DATE(B5,4,1),DATE(B5,4,6))</f>
        <v/>
      </c>
    </row>
    <row r="15">
      <c r="A15" t="inlineStr">
        <is>
          <t>Records end</t>
        </is>
      </c>
      <c r="B15" s="8">
        <f>IF(B13,DATE(B5+1,3,31),DATE(B5+1,4,5))</f>
        <v/>
      </c>
    </row>
    <row r="16">
      <c r="A16" t="inlineStr">
        <is>
          <t>Mileage rate, cars/vans, first 10,000 miles</t>
        </is>
      </c>
      <c r="B16" s="9">
        <f>IF(B5&gt;=2026,0.55,0.45)</f>
        <v/>
      </c>
      <c r="C16" s="2" t="inlineStr">
        <is>
          <t>55p from 2026-27 (45p before 6 April 2026), per GOV.UK simplified expenses. Check for later years.</t>
        </is>
      </c>
    </row>
    <row r="17">
      <c r="A17" t="inlineStr">
        <is>
          <t>Mileage rate, cars/vans, after 10,000 miles</t>
        </is>
      </c>
      <c r="B17" s="9" t="n">
        <v>0.25</v>
      </c>
    </row>
    <row r="18">
      <c r="A18" t="inlineStr">
        <is>
          <t>Mileage rate, motorcycles</t>
        </is>
      </c>
      <c r="B18" s="9" t="n">
        <v>0.24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5" showDropDown="0" showInputMessage="0" showErrorMessage="1" allowBlank="0" error="Enter a year such as 2026" type="whole" operator="between">
      <formula1>2020</formula1>
      <formula2>2040</formula2>
    </dataValidation>
    <dataValidation sqref="B6" showDropDown="0" showInputMessage="0" showErrorMessage="0" allowBlank="0" type="list">
      <formula1>list_Basis</formula1>
    </dataValidation>
    <dataValidation sqref="B7" showDropDown="0" showInputMessage="0" showErrorMessage="0" allowBlank="0" type="list">
      <formula1>list_YesNo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0" customHeight="1">
      <c r="A1" s="1" t="inlineStr">
        <is>
          <t>Quarterly update totals (cumulative from the start of the tax year)</t>
        </is>
      </c>
    </row>
    <row r="2">
      <c r="A2" s="2" t="inlineStr">
        <is>
          <t>These are the category totals your bridging software sends. Each column runs from the start of the tax year to the period end.</t>
        </is>
      </c>
    </row>
    <row r="4">
      <c r="A4" s="5" t="inlineStr">
        <is>
          <t>Period ends →</t>
        </is>
      </c>
      <c r="B4" s="10">
        <f>P1End</f>
        <v/>
      </c>
      <c r="C4" s="10">
        <f>P2End</f>
        <v/>
      </c>
      <c r="D4" s="10">
        <f>P3End</f>
        <v/>
      </c>
      <c r="E4" s="10">
        <f>P4End</f>
        <v/>
      </c>
    </row>
    <row r="5" ht="32" customHeight="1">
      <c r="A5" s="11" t="inlineStr">
        <is>
          <t>Self-employment: income</t>
        </is>
      </c>
      <c r="B5" s="11" t="inlineStr">
        <is>
          <t>Q1 (YTD)</t>
        </is>
      </c>
      <c r="C5" s="11" t="inlineStr">
        <is>
          <t>Q2 (YTD)</t>
        </is>
      </c>
      <c r="D5" s="11" t="inlineStr">
        <is>
          <t>Q3 (YTD)</t>
        </is>
      </c>
      <c r="E5" s="11" t="inlineStr">
        <is>
          <t>Q4 (YTD)</t>
        </is>
      </c>
    </row>
    <row r="6">
      <c r="A6" t="inlineStr">
        <is>
          <t>Turnover</t>
        </is>
      </c>
      <c r="B6" s="12">
        <f>SUMIFS(SE_Income_Amt,SE_Income_Cat,"Turnover",SE_Income_Date,"&gt;="&amp;YearStart,SE_Income_Date,"&lt;="&amp;P1End)</f>
        <v/>
      </c>
      <c r="C6" s="12">
        <f>SUMIFS(SE_Income_Amt,SE_Income_Cat,"Turnover",SE_Income_Date,"&gt;="&amp;YearStart,SE_Income_Date,"&lt;="&amp;P2End)</f>
        <v/>
      </c>
      <c r="D6" s="12">
        <f>SUMIFS(SE_Income_Amt,SE_Income_Cat,"Turnover",SE_Income_Date,"&gt;="&amp;YearStart,SE_Income_Date,"&lt;="&amp;P3End)</f>
        <v/>
      </c>
      <c r="E6" s="12">
        <f>SUMIFS(SE_Income_Amt,SE_Income_Cat,"Turnover",SE_Income_Date,"&gt;="&amp;YearStart,SE_Income_Date,"&lt;="&amp;P4End)</f>
        <v/>
      </c>
    </row>
    <row r="7">
      <c r="A7" t="inlineStr">
        <is>
          <t>Other business income</t>
        </is>
      </c>
      <c r="B7" s="12">
        <f>SUMIFS(SE_Income_Amt,SE_Income_Cat,"Other business income",SE_Income_Date,"&gt;="&amp;YearStart,SE_Income_Date,"&lt;="&amp;P1End)</f>
        <v/>
      </c>
      <c r="C7" s="12">
        <f>SUMIFS(SE_Income_Amt,SE_Income_Cat,"Other business income",SE_Income_Date,"&gt;="&amp;YearStart,SE_Income_Date,"&lt;="&amp;P2End)</f>
        <v/>
      </c>
      <c r="D7" s="12">
        <f>SUMIFS(SE_Income_Amt,SE_Income_Cat,"Other business income",SE_Income_Date,"&gt;="&amp;YearStart,SE_Income_Date,"&lt;="&amp;P3End)</f>
        <v/>
      </c>
      <c r="E7" s="12">
        <f>SUMIFS(SE_Income_Amt,SE_Income_Cat,"Other business income",SE_Income_Date,"&gt;="&amp;YearStart,SE_Income_Date,"&lt;="&amp;P4End)</f>
        <v/>
      </c>
    </row>
    <row r="8">
      <c r="A8" s="5" t="inlineStr">
        <is>
          <t>Total</t>
        </is>
      </c>
      <c r="B8" s="13">
        <f>SUM(B6:B7)</f>
        <v/>
      </c>
      <c r="C8" s="13">
        <f>SUM(C6:C7)</f>
        <v/>
      </c>
      <c r="D8" s="13">
        <f>SUM(D6:D7)</f>
        <v/>
      </c>
      <c r="E8" s="13">
        <f>SUM(E6:E7)</f>
        <v/>
      </c>
    </row>
    <row r="10" ht="32" customHeight="1">
      <c r="A10" s="11" t="inlineStr">
        <is>
          <t>Self-employment: expenses</t>
        </is>
      </c>
      <c r="B10" s="11" t="inlineStr">
        <is>
          <t>Q1 (YTD)</t>
        </is>
      </c>
      <c r="C10" s="11" t="inlineStr">
        <is>
          <t>Q2 (YTD)</t>
        </is>
      </c>
      <c r="D10" s="11" t="inlineStr">
        <is>
          <t>Q3 (YTD)</t>
        </is>
      </c>
      <c r="E10" s="11" t="inlineStr">
        <is>
          <t>Q4 (YTD)</t>
        </is>
      </c>
    </row>
    <row r="11">
      <c r="A11" t="inlineStr">
        <is>
          <t>Cost of goods bought for resale or goods used</t>
        </is>
      </c>
      <c r="B11" s="12">
        <f>SUMIFS(SE_Expenses_Amt,SE_Expenses_Cat,"Cost of goods bought for resale or goods used",SE_Expenses_Date,"&gt;="&amp;YearStart,SE_Expenses_Date,"&lt;="&amp;P1End)</f>
        <v/>
      </c>
      <c r="C11" s="12">
        <f>SUMIFS(SE_Expenses_Amt,SE_Expenses_Cat,"Cost of goods bought for resale or goods used",SE_Expenses_Date,"&gt;="&amp;YearStart,SE_Expenses_Date,"&lt;="&amp;P2End)</f>
        <v/>
      </c>
      <c r="D11" s="12">
        <f>SUMIFS(SE_Expenses_Amt,SE_Expenses_Cat,"Cost of goods bought for resale or goods used",SE_Expenses_Date,"&gt;="&amp;YearStart,SE_Expenses_Date,"&lt;="&amp;P3End)</f>
        <v/>
      </c>
      <c r="E11" s="12">
        <f>SUMIFS(SE_Expenses_Amt,SE_Expenses_Cat,"Cost of goods bought for resale or goods used",SE_Expenses_Date,"&gt;="&amp;YearStart,SE_Expenses_Date,"&lt;="&amp;P4End)</f>
        <v/>
      </c>
    </row>
    <row r="12">
      <c r="A12" t="inlineStr">
        <is>
          <t>Construction industry — payments to subcontractors</t>
        </is>
      </c>
      <c r="B12" s="12">
        <f>SUMIFS(SE_Expenses_Amt,SE_Expenses_Cat,"Construction industry — payments to subcontractors",SE_Expenses_Date,"&gt;="&amp;YearStart,SE_Expenses_Date,"&lt;="&amp;P1End)</f>
        <v/>
      </c>
      <c r="C12" s="12">
        <f>SUMIFS(SE_Expenses_Amt,SE_Expenses_Cat,"Construction industry — payments to subcontractors",SE_Expenses_Date,"&gt;="&amp;YearStart,SE_Expenses_Date,"&lt;="&amp;P2End)</f>
        <v/>
      </c>
      <c r="D12" s="12">
        <f>SUMIFS(SE_Expenses_Amt,SE_Expenses_Cat,"Construction industry — payments to subcontractors",SE_Expenses_Date,"&gt;="&amp;YearStart,SE_Expenses_Date,"&lt;="&amp;P3End)</f>
        <v/>
      </c>
      <c r="E12" s="12">
        <f>SUMIFS(SE_Expenses_Amt,SE_Expenses_Cat,"Construction industry — payments to subcontractors",SE_Expenses_Date,"&gt;="&amp;YearStart,SE_Expenses_Date,"&lt;="&amp;P4End)</f>
        <v/>
      </c>
    </row>
    <row r="13">
      <c r="A13" t="inlineStr">
        <is>
          <t>Wages, salaries, and other staff costs</t>
        </is>
      </c>
      <c r="B13" s="12">
        <f>SUMIFS(SE_Expenses_Amt,SE_Expenses_Cat,"Wages, salaries, and other staff costs",SE_Expenses_Date,"&gt;="&amp;YearStart,SE_Expenses_Date,"&lt;="&amp;P1End)</f>
        <v/>
      </c>
      <c r="C13" s="12">
        <f>SUMIFS(SE_Expenses_Amt,SE_Expenses_Cat,"Wages, salaries, and other staff costs",SE_Expenses_Date,"&gt;="&amp;YearStart,SE_Expenses_Date,"&lt;="&amp;P2End)</f>
        <v/>
      </c>
      <c r="D13" s="12">
        <f>SUMIFS(SE_Expenses_Amt,SE_Expenses_Cat,"Wages, salaries, and other staff costs",SE_Expenses_Date,"&gt;="&amp;YearStart,SE_Expenses_Date,"&lt;="&amp;P3End)</f>
        <v/>
      </c>
      <c r="E13" s="12">
        <f>SUMIFS(SE_Expenses_Amt,SE_Expenses_Cat,"Wages, salaries, and other staff costs",SE_Expenses_Date,"&gt;="&amp;YearStart,SE_Expenses_Date,"&lt;="&amp;P4End)</f>
        <v/>
      </c>
    </row>
    <row r="14">
      <c r="A14" t="inlineStr">
        <is>
          <t>Car, van, and travel expenses</t>
        </is>
      </c>
      <c r="B14" s="12">
        <f>SUMIFS(SE_Expenses_Amt,SE_Expenses_Cat,"Car, van, and travel expenses",SE_Expenses_Date,"&gt;="&amp;YearStart,SE_Expenses_Date,"&lt;="&amp;P1End)</f>
        <v/>
      </c>
      <c r="C14" s="12">
        <f>SUMIFS(SE_Expenses_Amt,SE_Expenses_Cat,"Car, van, and travel expenses",SE_Expenses_Date,"&gt;="&amp;YearStart,SE_Expenses_Date,"&lt;="&amp;P2End)</f>
        <v/>
      </c>
      <c r="D14" s="12">
        <f>SUMIFS(SE_Expenses_Amt,SE_Expenses_Cat,"Car, van, and travel expenses",SE_Expenses_Date,"&gt;="&amp;YearStart,SE_Expenses_Date,"&lt;="&amp;P3End)</f>
        <v/>
      </c>
      <c r="E14" s="12">
        <f>SUMIFS(SE_Expenses_Amt,SE_Expenses_Cat,"Car, van, and travel expenses",SE_Expenses_Date,"&gt;="&amp;YearStart,SE_Expenses_Date,"&lt;="&amp;P4End)</f>
        <v/>
      </c>
    </row>
    <row r="15">
      <c r="A15" t="inlineStr">
        <is>
          <t>Rent, rates, power, and insurance costs</t>
        </is>
      </c>
      <c r="B15" s="12">
        <f>SUMIFS(SE_Expenses_Amt,SE_Expenses_Cat,"Rent, rates, power, and insurance costs",SE_Expenses_Date,"&gt;="&amp;YearStart,SE_Expenses_Date,"&lt;="&amp;P1End)</f>
        <v/>
      </c>
      <c r="C15" s="12">
        <f>SUMIFS(SE_Expenses_Amt,SE_Expenses_Cat,"Rent, rates, power, and insurance costs",SE_Expenses_Date,"&gt;="&amp;YearStart,SE_Expenses_Date,"&lt;="&amp;P2End)</f>
        <v/>
      </c>
      <c r="D15" s="12">
        <f>SUMIFS(SE_Expenses_Amt,SE_Expenses_Cat,"Rent, rates, power, and insurance costs",SE_Expenses_Date,"&gt;="&amp;YearStart,SE_Expenses_Date,"&lt;="&amp;P3End)</f>
        <v/>
      </c>
      <c r="E15" s="12">
        <f>SUMIFS(SE_Expenses_Amt,SE_Expenses_Cat,"Rent, rates, power, and insurance costs",SE_Expenses_Date,"&gt;="&amp;YearStart,SE_Expenses_Date,"&lt;="&amp;P4End)</f>
        <v/>
      </c>
    </row>
    <row r="16">
      <c r="A16" t="inlineStr">
        <is>
          <t>Repairs and maintenance of property and equipment</t>
        </is>
      </c>
      <c r="B16" s="12">
        <f>SUMIFS(SE_Expenses_Amt,SE_Expenses_Cat,"Repairs and maintenance of property and equipment",SE_Expenses_Date,"&gt;="&amp;YearStart,SE_Expenses_Date,"&lt;="&amp;P1End)</f>
        <v/>
      </c>
      <c r="C16" s="12">
        <f>SUMIFS(SE_Expenses_Amt,SE_Expenses_Cat,"Repairs and maintenance of property and equipment",SE_Expenses_Date,"&gt;="&amp;YearStart,SE_Expenses_Date,"&lt;="&amp;P2End)</f>
        <v/>
      </c>
      <c r="D16" s="12">
        <f>SUMIFS(SE_Expenses_Amt,SE_Expenses_Cat,"Repairs and maintenance of property and equipment",SE_Expenses_Date,"&gt;="&amp;YearStart,SE_Expenses_Date,"&lt;="&amp;P3End)</f>
        <v/>
      </c>
      <c r="E16" s="12">
        <f>SUMIFS(SE_Expenses_Amt,SE_Expenses_Cat,"Repairs and maintenance of property and equipment",SE_Expenses_Date,"&gt;="&amp;YearStart,SE_Expenses_Date,"&lt;="&amp;P4End)</f>
        <v/>
      </c>
    </row>
    <row r="17">
      <c r="A17" t="inlineStr">
        <is>
          <t>Phone, fax, stationery, and other office costs</t>
        </is>
      </c>
      <c r="B17" s="12">
        <f>SUMIFS(SE_Expenses_Amt,SE_Expenses_Cat,"Phone, fax, stationery, and other office costs",SE_Expenses_Date,"&gt;="&amp;YearStart,SE_Expenses_Date,"&lt;="&amp;P1End)</f>
        <v/>
      </c>
      <c r="C17" s="12">
        <f>SUMIFS(SE_Expenses_Amt,SE_Expenses_Cat,"Phone, fax, stationery, and other office costs",SE_Expenses_Date,"&gt;="&amp;YearStart,SE_Expenses_Date,"&lt;="&amp;P2End)</f>
        <v/>
      </c>
      <c r="D17" s="12">
        <f>SUMIFS(SE_Expenses_Amt,SE_Expenses_Cat,"Phone, fax, stationery, and other office costs",SE_Expenses_Date,"&gt;="&amp;YearStart,SE_Expenses_Date,"&lt;="&amp;P3End)</f>
        <v/>
      </c>
      <c r="E17" s="12">
        <f>SUMIFS(SE_Expenses_Amt,SE_Expenses_Cat,"Phone, fax, stationery, and other office costs",SE_Expenses_Date,"&gt;="&amp;YearStart,SE_Expenses_Date,"&lt;="&amp;P4End)</f>
        <v/>
      </c>
    </row>
    <row r="18">
      <c r="A18" t="inlineStr">
        <is>
          <t>Advertising</t>
        </is>
      </c>
      <c r="B18" s="12">
        <f>SUMIFS(SE_Expenses_Amt,SE_Expenses_Cat,"Advertising",SE_Expenses_Date,"&gt;="&amp;YearStart,SE_Expenses_Date,"&lt;="&amp;P1End)</f>
        <v/>
      </c>
      <c r="C18" s="12">
        <f>SUMIFS(SE_Expenses_Amt,SE_Expenses_Cat,"Advertising",SE_Expenses_Date,"&gt;="&amp;YearStart,SE_Expenses_Date,"&lt;="&amp;P2End)</f>
        <v/>
      </c>
      <c r="D18" s="12">
        <f>SUMIFS(SE_Expenses_Amt,SE_Expenses_Cat,"Advertising",SE_Expenses_Date,"&gt;="&amp;YearStart,SE_Expenses_Date,"&lt;="&amp;P3End)</f>
        <v/>
      </c>
      <c r="E18" s="12">
        <f>SUMIFS(SE_Expenses_Amt,SE_Expenses_Cat,"Advertising",SE_Expenses_Date,"&gt;="&amp;YearStart,SE_Expenses_Date,"&lt;="&amp;P4End)</f>
        <v/>
      </c>
    </row>
    <row r="19">
      <c r="A19" t="inlineStr">
        <is>
          <t>Business entertainment costs</t>
        </is>
      </c>
      <c r="B19" s="12">
        <f>SUMIFS(SE_Expenses_Amt,SE_Expenses_Cat,"Business entertainment costs",SE_Expenses_Date,"&gt;="&amp;YearStart,SE_Expenses_Date,"&lt;="&amp;P1End)</f>
        <v/>
      </c>
      <c r="C19" s="12">
        <f>SUMIFS(SE_Expenses_Amt,SE_Expenses_Cat,"Business entertainment costs",SE_Expenses_Date,"&gt;="&amp;YearStart,SE_Expenses_Date,"&lt;="&amp;P2End)</f>
        <v/>
      </c>
      <c r="D19" s="12">
        <f>SUMIFS(SE_Expenses_Amt,SE_Expenses_Cat,"Business entertainment costs",SE_Expenses_Date,"&gt;="&amp;YearStart,SE_Expenses_Date,"&lt;="&amp;P3End)</f>
        <v/>
      </c>
      <c r="E19" s="12">
        <f>SUMIFS(SE_Expenses_Amt,SE_Expenses_Cat,"Business entertainment costs",SE_Expenses_Date,"&gt;="&amp;YearStart,SE_Expenses_Date,"&lt;="&amp;P4End)</f>
        <v/>
      </c>
    </row>
    <row r="20">
      <c r="A20" t="inlineStr">
        <is>
          <t>Interest on bank and other loans</t>
        </is>
      </c>
      <c r="B20" s="12">
        <f>SUMIFS(SE_Expenses_Amt,SE_Expenses_Cat,"Interest on bank and other loans",SE_Expenses_Date,"&gt;="&amp;YearStart,SE_Expenses_Date,"&lt;="&amp;P1End)</f>
        <v/>
      </c>
      <c r="C20" s="12">
        <f>SUMIFS(SE_Expenses_Amt,SE_Expenses_Cat,"Interest on bank and other loans",SE_Expenses_Date,"&gt;="&amp;YearStart,SE_Expenses_Date,"&lt;="&amp;P2End)</f>
        <v/>
      </c>
      <c r="D20" s="12">
        <f>SUMIFS(SE_Expenses_Amt,SE_Expenses_Cat,"Interest on bank and other loans",SE_Expenses_Date,"&gt;="&amp;YearStart,SE_Expenses_Date,"&lt;="&amp;P3End)</f>
        <v/>
      </c>
      <c r="E20" s="12">
        <f>SUMIFS(SE_Expenses_Amt,SE_Expenses_Cat,"Interest on bank and other loans",SE_Expenses_Date,"&gt;="&amp;YearStart,SE_Expenses_Date,"&lt;="&amp;P4End)</f>
        <v/>
      </c>
    </row>
    <row r="21">
      <c r="A21" t="inlineStr">
        <is>
          <t>Bank, credit card and other financial charges</t>
        </is>
      </c>
      <c r="B21" s="12">
        <f>SUMIFS(SE_Expenses_Amt,SE_Expenses_Cat,"Bank, credit card and other financial charges",SE_Expenses_Date,"&gt;="&amp;YearStart,SE_Expenses_Date,"&lt;="&amp;P1End)</f>
        <v/>
      </c>
      <c r="C21" s="12">
        <f>SUMIFS(SE_Expenses_Amt,SE_Expenses_Cat,"Bank, credit card and other financial charges",SE_Expenses_Date,"&gt;="&amp;YearStart,SE_Expenses_Date,"&lt;="&amp;P2End)</f>
        <v/>
      </c>
      <c r="D21" s="12">
        <f>SUMIFS(SE_Expenses_Amt,SE_Expenses_Cat,"Bank, credit card and other financial charges",SE_Expenses_Date,"&gt;="&amp;YearStart,SE_Expenses_Date,"&lt;="&amp;P3End)</f>
        <v/>
      </c>
      <c r="E21" s="12">
        <f>SUMIFS(SE_Expenses_Amt,SE_Expenses_Cat,"Bank, credit card and other financial charges",SE_Expenses_Date,"&gt;="&amp;YearStart,SE_Expenses_Date,"&lt;="&amp;P4End)</f>
        <v/>
      </c>
    </row>
    <row r="22">
      <c r="A22" t="inlineStr">
        <is>
          <t>Accountancy, legal and other professional fees</t>
        </is>
      </c>
      <c r="B22" s="12">
        <f>SUMIFS(SE_Expenses_Amt,SE_Expenses_Cat,"Accountancy, legal and other professional fees",SE_Expenses_Date,"&gt;="&amp;YearStart,SE_Expenses_Date,"&lt;="&amp;P1End)</f>
        <v/>
      </c>
      <c r="C22" s="12">
        <f>SUMIFS(SE_Expenses_Amt,SE_Expenses_Cat,"Accountancy, legal and other professional fees",SE_Expenses_Date,"&gt;="&amp;YearStart,SE_Expenses_Date,"&lt;="&amp;P2End)</f>
        <v/>
      </c>
      <c r="D22" s="12">
        <f>SUMIFS(SE_Expenses_Amt,SE_Expenses_Cat,"Accountancy, legal and other professional fees",SE_Expenses_Date,"&gt;="&amp;YearStart,SE_Expenses_Date,"&lt;="&amp;P3End)</f>
        <v/>
      </c>
      <c r="E22" s="12">
        <f>SUMIFS(SE_Expenses_Amt,SE_Expenses_Cat,"Accountancy, legal and other professional fees",SE_Expenses_Date,"&gt;="&amp;YearStart,SE_Expenses_Date,"&lt;="&amp;P4End)</f>
        <v/>
      </c>
    </row>
    <row r="23">
      <c r="A23" t="inlineStr">
        <is>
          <t>Other business expenses</t>
        </is>
      </c>
      <c r="B23" s="12">
        <f>SUMIFS(SE_Expenses_Amt,SE_Expenses_Cat,"Other business expenses",SE_Expenses_Date,"&gt;="&amp;YearStart,SE_Expenses_Date,"&lt;="&amp;P1End)</f>
        <v/>
      </c>
      <c r="C23" s="12">
        <f>SUMIFS(SE_Expenses_Amt,SE_Expenses_Cat,"Other business expenses",SE_Expenses_Date,"&gt;="&amp;YearStart,SE_Expenses_Date,"&lt;="&amp;P2End)</f>
        <v/>
      </c>
      <c r="D23" s="12">
        <f>SUMIFS(SE_Expenses_Amt,SE_Expenses_Cat,"Other business expenses",SE_Expenses_Date,"&gt;="&amp;YearStart,SE_Expenses_Date,"&lt;="&amp;P3End)</f>
        <v/>
      </c>
      <c r="E23" s="12">
        <f>SUMIFS(SE_Expenses_Amt,SE_Expenses_Cat,"Other business expenses",SE_Expenses_Date,"&gt;="&amp;YearStart,SE_Expenses_Date,"&lt;="&amp;P4End)</f>
        <v/>
      </c>
    </row>
    <row r="24">
      <c r="A24" s="5" t="inlineStr">
        <is>
          <t>Total</t>
        </is>
      </c>
      <c r="B24" s="13">
        <f>SUM(B11:B23)</f>
        <v/>
      </c>
      <c r="C24" s="13">
        <f>SUM(C11:C23)</f>
        <v/>
      </c>
      <c r="D24" s="13">
        <f>SUM(D11:D23)</f>
        <v/>
      </c>
      <c r="E24" s="13">
        <f>SUM(E11:E23)</f>
        <v/>
      </c>
    </row>
    <row r="26">
      <c r="A26" s="5" t="inlineStr">
        <is>
          <t>Self-employment: income less expenses (indicative only, before adjustments)</t>
        </is>
      </c>
      <c r="B26" s="14">
        <f>B8-B24</f>
        <v/>
      </c>
      <c r="C26" s="14">
        <f>C8-C24</f>
        <v/>
      </c>
      <c r="D26" s="14">
        <f>D8-D24</f>
        <v/>
      </c>
      <c r="E26" s="14">
        <f>E8-E24</f>
        <v/>
      </c>
    </row>
    <row r="28">
      <c r="A28" s="5" t="inlineStr">
        <is>
          <t>Memo: simplified mileage claim, cars/vans + motorcycles (YTD)</t>
        </is>
      </c>
      <c r="B28" s="15">
        <f>MIN(SUMIFS(Mi_Miles,Mi_Type,"Car or van",Mi_Date,"&gt;="&amp;YearStart,Mi_Date,"&lt;="&amp;P1End),10000)*RateCar1+MAX(SUMIFS(Mi_Miles,Mi_Type,"Car or van",Mi_Date,"&gt;="&amp;YearStart,Mi_Date,"&lt;="&amp;P1End)-10000,0)*RateCar2+SUMIFS(Mi_Miles,Mi_Type,"Motorcycle",Mi_Date,"&gt;="&amp;YearStart,Mi_Date,"&lt;="&amp;P1End)*RateMoto</f>
        <v/>
      </c>
      <c r="C28" s="15">
        <f>MIN(SUMIFS(Mi_Miles,Mi_Type,"Car or van",Mi_Date,"&gt;="&amp;YearStart,Mi_Date,"&lt;="&amp;P2End),10000)*RateCar1+MAX(SUMIFS(Mi_Miles,Mi_Type,"Car or van",Mi_Date,"&gt;="&amp;YearStart,Mi_Date,"&lt;="&amp;P2End)-10000,0)*RateCar2+SUMIFS(Mi_Miles,Mi_Type,"Motorcycle",Mi_Date,"&gt;="&amp;YearStart,Mi_Date,"&lt;="&amp;P2End)*RateMoto</f>
        <v/>
      </c>
      <c r="D28" s="15">
        <f>MIN(SUMIFS(Mi_Miles,Mi_Type,"Car or van",Mi_Date,"&gt;="&amp;YearStart,Mi_Date,"&lt;="&amp;P3End),10000)*RateCar1+MAX(SUMIFS(Mi_Miles,Mi_Type,"Car or van",Mi_Date,"&gt;="&amp;YearStart,Mi_Date,"&lt;="&amp;P3End)-10000,0)*RateCar2+SUMIFS(Mi_Miles,Mi_Type,"Motorcycle",Mi_Date,"&gt;="&amp;YearStart,Mi_Date,"&lt;="&amp;P3End)*RateMoto</f>
        <v/>
      </c>
      <c r="E28" s="15">
        <f>MIN(SUMIFS(Mi_Miles,Mi_Type,"Car or van",Mi_Date,"&gt;="&amp;YearStart,Mi_Date,"&lt;="&amp;P4End),10000)*RateCar1+MAX(SUMIFS(Mi_Miles,Mi_Type,"Car or van",Mi_Date,"&gt;="&amp;YearStart,Mi_Date,"&lt;="&amp;P4End)-10000,0)*RateCar2+SUMIFS(Mi_Miles,Mi_Type,"Motorcycle",Mi_Date,"&gt;="&amp;YearStart,Mi_Date,"&lt;="&amp;P4End)*RateMoto</f>
        <v/>
      </c>
    </row>
    <row r="29">
      <c r="A29" s="2" t="inlineStr">
        <is>
          <t>Not included in the totals above. GOV.UK says flat rates are worked out at the end of the tax year.</t>
        </is>
      </c>
    </row>
    <row r="31">
      <c r="A31" s="2" t="inlineStr">
        <is>
          <t>Template only, not tax advice. Send updates through HMRC-recognised (bridging) software.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0" customHeight="1">
      <c r="A1" s="1" t="inlineStr">
        <is>
          <t>Update periods and deadlines</t>
        </is>
      </c>
    </row>
    <row r="2">
      <c r="A2" s="2" t="inlineStr">
        <is>
          <t>Worked out from Setup. Each update covers the start of the tax year to the period end.</t>
        </is>
      </c>
    </row>
    <row r="4" ht="32" customHeight="1">
      <c r="A4" s="11" t="inlineStr">
        <is>
          <t>Update</t>
        </is>
      </c>
      <c r="B4" s="11" t="inlineStr">
        <is>
          <t>Covers from</t>
        </is>
      </c>
      <c r="C4" s="11" t="inlineStr">
        <is>
          <t>Covers to</t>
        </is>
      </c>
      <c r="D4" s="11" t="inlineStr">
        <is>
          <t>Send by</t>
        </is>
      </c>
      <c r="E4" s="11" t="inlineStr">
        <is>
          <t>Status (today)</t>
        </is>
      </c>
    </row>
    <row r="5">
      <c r="A5" s="16" t="inlineStr">
        <is>
          <t>Q1</t>
        </is>
      </c>
      <c r="B5" s="8">
        <f>YearStart</f>
        <v/>
      </c>
      <c r="C5" s="8">
        <f>IF(IsCalendar,DATE(TaxYear,6,30),DATE(TaxYear,7,5))</f>
        <v/>
      </c>
      <c r="D5" s="8">
        <f>DATE(TaxYear,8,7)</f>
        <v/>
      </c>
      <c r="E5" s="7">
        <f>IF(TODAY()&lt;C5,"Period open",IF(TODAY()&lt;=D5,"Due by "&amp;TEXT(D5,"d mmm yyyy"),"Deadline passed"))</f>
        <v/>
      </c>
    </row>
    <row r="6">
      <c r="A6" s="16" t="inlineStr">
        <is>
          <t>Q2</t>
        </is>
      </c>
      <c r="B6" s="8">
        <f>YearStart</f>
        <v/>
      </c>
      <c r="C6" s="8">
        <f>IF(IsCalendar,DATE(TaxYear,9,30),DATE(TaxYear,10,5))</f>
        <v/>
      </c>
      <c r="D6" s="8">
        <f>DATE(TaxYear,11,7)</f>
        <v/>
      </c>
      <c r="E6" s="7">
        <f>IF(TODAY()&lt;C6,"Period open",IF(TODAY()&lt;=D6,"Due by "&amp;TEXT(D6,"d mmm yyyy"),"Deadline passed"))</f>
        <v/>
      </c>
    </row>
    <row r="7">
      <c r="A7" s="16" t="inlineStr">
        <is>
          <t>Q3</t>
        </is>
      </c>
      <c r="B7" s="8">
        <f>YearStart</f>
        <v/>
      </c>
      <c r="C7" s="8">
        <f>IF(IsCalendar,DATE(TaxYear,12,31),DATE(TaxYear+1,1,5))</f>
        <v/>
      </c>
      <c r="D7" s="8">
        <f>DATE(TaxYear+1,2,7)</f>
        <v/>
      </c>
      <c r="E7" s="7">
        <f>IF(TODAY()&lt;C7,"Period open",IF(TODAY()&lt;=D7,"Due by "&amp;TEXT(D7,"d mmm yyyy"),"Deadline passed"))</f>
        <v/>
      </c>
    </row>
    <row r="8">
      <c r="A8" s="16" t="inlineStr">
        <is>
          <t>Q4</t>
        </is>
      </c>
      <c r="B8" s="8">
        <f>YearStart</f>
        <v/>
      </c>
      <c r="C8" s="8">
        <f>IF(IsCalendar,DATE(TaxYear+1,3,31),DATE(TaxYear+1,4,5))</f>
        <v/>
      </c>
      <c r="D8" s="8">
        <f>DATE(TaxYear+1,5,7)</f>
        <v/>
      </c>
      <c r="E8" s="7">
        <f>IF(TODAY()&lt;C8,"Period open",IF(TODAY()&lt;=D8,"Due by "&amp;TEXT(D8,"d mmm yyyy"),"Deadline passed"))</f>
        <v/>
      </c>
    </row>
    <row r="10">
      <c r="A10" s="5" t="inlineStr">
        <is>
          <t>Tax return</t>
        </is>
      </c>
      <c r="D10" s="17">
        <f>DATE(TaxYear+2,1,31)</f>
        <v/>
      </c>
      <c r="E10" t="inlineStr">
        <is>
          <t>Submit by 31 January after the tax year ends</t>
        </is>
      </c>
    </row>
    <row r="12">
      <c r="A12" s="2" t="inlineStr">
        <is>
          <t>No penalty points for late quarterly updates in the 2026-27 tax year. Later years: 4 points = £200 penalty.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SE_Income</t>
        </is>
      </c>
      <c r="B1" s="5" t="inlineStr">
        <is>
          <t>SE_Expenses</t>
        </is>
      </c>
      <c r="C1" s="5" t="inlineStr">
        <is>
          <t>Basis</t>
        </is>
      </c>
      <c r="D1" s="5" t="inlineStr">
        <is>
          <t>YesNo</t>
        </is>
      </c>
      <c r="E1" s="5" t="inlineStr">
        <is>
          <t>Vehicle</t>
        </is>
      </c>
    </row>
    <row r="2">
      <c r="A2" t="inlineStr">
        <is>
          <t>Turnover</t>
        </is>
      </c>
      <c r="B2" t="inlineStr">
        <is>
          <t>Cost of goods bought for resale or goods used</t>
        </is>
      </c>
      <c r="C2" t="inlineStr">
        <is>
          <t>Standard (6 April to 5 April)</t>
        </is>
      </c>
      <c r="D2" t="inlineStr">
        <is>
          <t>Yes</t>
        </is>
      </c>
      <c r="E2" t="inlineStr">
        <is>
          <t>Car or van</t>
        </is>
      </c>
    </row>
    <row r="3">
      <c r="A3" t="inlineStr">
        <is>
          <t>Other business income</t>
        </is>
      </c>
      <c r="B3" t="inlineStr">
        <is>
          <t>Construction industry — payments to subcontractors</t>
        </is>
      </c>
      <c r="C3" t="inlineStr">
        <is>
          <t>Calendar (1 April to 31 March)</t>
        </is>
      </c>
      <c r="D3" t="inlineStr">
        <is>
          <t>No</t>
        </is>
      </c>
      <c r="E3" t="inlineStr">
        <is>
          <t>Motorcycle</t>
        </is>
      </c>
    </row>
    <row r="4">
      <c r="B4" t="inlineStr">
        <is>
          <t>Wages, salaries, and other staff costs</t>
        </is>
      </c>
    </row>
    <row r="5">
      <c r="B5" t="inlineStr">
        <is>
          <t>Car, van, and travel expenses</t>
        </is>
      </c>
    </row>
    <row r="6">
      <c r="B6" t="inlineStr">
        <is>
          <t>Rent, rates, power, and insurance costs</t>
        </is>
      </c>
    </row>
    <row r="7">
      <c r="B7" t="inlineStr">
        <is>
          <t>Repairs and maintenance of property and equipment</t>
        </is>
      </c>
    </row>
    <row r="8">
      <c r="B8" t="inlineStr">
        <is>
          <t>Phone, fax, stationery, and other office costs</t>
        </is>
      </c>
    </row>
    <row r="9">
      <c r="B9" t="inlineStr">
        <is>
          <t>Advertising</t>
        </is>
      </c>
    </row>
    <row r="10">
      <c r="B10" t="inlineStr">
        <is>
          <t>Business entertainment costs</t>
        </is>
      </c>
    </row>
    <row r="11">
      <c r="B11" t="inlineStr">
        <is>
          <t>Interest on bank and other loans</t>
        </is>
      </c>
    </row>
    <row r="12">
      <c r="B12" t="inlineStr">
        <is>
          <t>Bank, credit card and other financial charges</t>
        </is>
      </c>
    </row>
    <row r="13">
      <c r="B13" t="inlineStr">
        <is>
          <t>Accountancy, legal and other professional fees</t>
        </is>
      </c>
    </row>
    <row r="14">
      <c r="B14" t="inlineStr">
        <is>
          <t>Other business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Self-employment income</t>
        </is>
      </c>
    </row>
    <row r="2">
      <c r="A2" s="2" t="inlineStr">
        <is>
          <t>One row per sale, takings or fee. Record the date received.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list_SE_Income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Self-employment expenses</t>
        </is>
      </c>
    </row>
    <row r="2">
      <c r="A2" s="2" t="inlineStr">
        <is>
          <t>One row per expense. Record the date incurred.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list_SE_Expenses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15" customWidth="1" min="4" max="4"/>
    <col width="14" customWidth="1" min="5" max="5"/>
  </cols>
  <sheetData>
    <row r="1" ht="30" customHeight="1">
      <c r="A1" s="1" t="inlineStr">
        <is>
          <t>Business mileage (simplified expenses)</t>
        </is>
      </c>
    </row>
    <row r="2">
      <c r="A2" s="2" t="inlineStr">
        <is>
          <t>Optional. Only for vehicles you have NOT claimed capital allowances or actual running costs on.</t>
        </is>
      </c>
    </row>
    <row r="4" ht="32" customHeight="1">
      <c r="A4" s="11" t="inlineStr">
        <is>
          <t>Date</t>
        </is>
      </c>
      <c r="B4" s="11" t="inlineStr">
        <is>
          <t>Journey and business purpose</t>
        </is>
      </c>
      <c r="C4" s="11" t="inlineStr">
        <is>
          <t>Vehicle type</t>
        </is>
      </c>
      <c r="D4" s="11" t="inlineStr">
        <is>
          <t>Business miles</t>
        </is>
      </c>
      <c r="E4" s="11" t="inlineStr">
        <is>
          <t>Update period</t>
        </is>
      </c>
    </row>
    <row r="5">
      <c r="A5" s="17" t="n"/>
      <c r="D5" s="20" t="n"/>
      <c r="E5" s="19">
        <f>IF(A5="","",IF(OR(A5&lt;YearStart,A5&gt;YearEnd),"-",IF(A5&lt;=P1End,"Q1",IF(A5&lt;=P2End,"Q2",IF(A5&lt;=P3End,"Q3","Q4")))))</f>
        <v/>
      </c>
    </row>
    <row r="6">
      <c r="A6" s="17" t="n"/>
      <c r="D6" s="20" t="n"/>
      <c r="E6" s="19">
        <f>IF(A6="","",IF(OR(A6&lt;YearStart,A6&gt;YearEnd),"-",IF(A6&lt;=P1End,"Q1",IF(A6&lt;=P2End,"Q2",IF(A6&lt;=P3End,"Q3","Q4")))))</f>
        <v/>
      </c>
    </row>
    <row r="7">
      <c r="A7" s="17" t="n"/>
      <c r="D7" s="20" t="n"/>
      <c r="E7" s="19">
        <f>IF(A7="","",IF(OR(A7&lt;YearStart,A7&gt;YearEnd),"-",IF(A7&lt;=P1End,"Q1",IF(A7&lt;=P2End,"Q2",IF(A7&lt;=P3End,"Q3","Q4")))))</f>
        <v/>
      </c>
    </row>
    <row r="8">
      <c r="A8" s="17" t="n"/>
      <c r="D8" s="20" t="n"/>
      <c r="E8" s="19">
        <f>IF(A8="","",IF(OR(A8&lt;YearStart,A8&gt;YearEnd),"-",IF(A8&lt;=P1End,"Q1",IF(A8&lt;=P2End,"Q2",IF(A8&lt;=P3End,"Q3","Q4")))))</f>
        <v/>
      </c>
    </row>
    <row r="9">
      <c r="A9" s="17" t="n"/>
      <c r="D9" s="20" t="n"/>
      <c r="E9" s="19">
        <f>IF(A9="","",IF(OR(A9&lt;YearStart,A9&gt;YearEnd),"-",IF(A9&lt;=P1End,"Q1",IF(A9&lt;=P2End,"Q2",IF(A9&lt;=P3End,"Q3","Q4")))))</f>
        <v/>
      </c>
    </row>
    <row r="10">
      <c r="A10" s="17" t="n"/>
      <c r="D10" s="20" t="n"/>
      <c r="E10" s="19">
        <f>IF(A10="","",IF(OR(A10&lt;YearStart,A10&gt;YearEnd),"-",IF(A10&lt;=P1End,"Q1",IF(A10&lt;=P2End,"Q2",IF(A10&lt;=P3End,"Q3","Q4")))))</f>
        <v/>
      </c>
    </row>
    <row r="11">
      <c r="A11" s="17" t="n"/>
      <c r="D11" s="20" t="n"/>
      <c r="E11" s="19">
        <f>IF(A11="","",IF(OR(A11&lt;YearStart,A11&gt;YearEnd),"-",IF(A11&lt;=P1End,"Q1",IF(A11&lt;=P2End,"Q2",IF(A11&lt;=P3End,"Q3","Q4")))))</f>
        <v/>
      </c>
    </row>
    <row r="12">
      <c r="A12" s="17" t="n"/>
      <c r="D12" s="20" t="n"/>
      <c r="E12" s="19">
        <f>IF(A12="","",IF(OR(A12&lt;YearStart,A12&gt;YearEnd),"-",IF(A12&lt;=P1End,"Q1",IF(A12&lt;=P2End,"Q2",IF(A12&lt;=P3End,"Q3","Q4")))))</f>
        <v/>
      </c>
    </row>
    <row r="13">
      <c r="A13" s="17" t="n"/>
      <c r="D13" s="20" t="n"/>
      <c r="E13" s="19">
        <f>IF(A13="","",IF(OR(A13&lt;YearStart,A13&gt;YearEnd),"-",IF(A13&lt;=P1End,"Q1",IF(A13&lt;=P2End,"Q2",IF(A13&lt;=P3End,"Q3","Q4")))))</f>
        <v/>
      </c>
    </row>
    <row r="14">
      <c r="A14" s="17" t="n"/>
      <c r="D14" s="20" t="n"/>
      <c r="E14" s="19">
        <f>IF(A14="","",IF(OR(A14&lt;YearStart,A14&gt;YearEnd),"-",IF(A14&lt;=P1End,"Q1",IF(A14&lt;=P2End,"Q2",IF(A14&lt;=P3End,"Q3","Q4")))))</f>
        <v/>
      </c>
    </row>
    <row r="15">
      <c r="A15" s="17" t="n"/>
      <c r="D15" s="20" t="n"/>
      <c r="E15" s="19">
        <f>IF(A15="","",IF(OR(A15&lt;YearStart,A15&gt;YearEnd),"-",IF(A15&lt;=P1End,"Q1",IF(A15&lt;=P2End,"Q2",IF(A15&lt;=P3End,"Q3","Q4")))))</f>
        <v/>
      </c>
    </row>
    <row r="16">
      <c r="A16" s="17" t="n"/>
      <c r="D16" s="20" t="n"/>
      <c r="E16" s="19">
        <f>IF(A16="","",IF(OR(A16&lt;YearStart,A16&gt;YearEnd),"-",IF(A16&lt;=P1End,"Q1",IF(A16&lt;=P2End,"Q2",IF(A16&lt;=P3End,"Q3","Q4")))))</f>
        <v/>
      </c>
    </row>
    <row r="17">
      <c r="A17" s="17" t="n"/>
      <c r="D17" s="20" t="n"/>
      <c r="E17" s="19">
        <f>IF(A17="","",IF(OR(A17&lt;YearStart,A17&gt;YearEnd),"-",IF(A17&lt;=P1End,"Q1",IF(A17&lt;=P2End,"Q2",IF(A17&lt;=P3End,"Q3","Q4")))))</f>
        <v/>
      </c>
    </row>
    <row r="18">
      <c r="A18" s="17" t="n"/>
      <c r="D18" s="20" t="n"/>
      <c r="E18" s="19">
        <f>IF(A18="","",IF(OR(A18&lt;YearStart,A18&gt;YearEnd),"-",IF(A18&lt;=P1End,"Q1",IF(A18&lt;=P2End,"Q2",IF(A18&lt;=P3End,"Q3","Q4")))))</f>
        <v/>
      </c>
    </row>
    <row r="19">
      <c r="A19" s="17" t="n"/>
      <c r="D19" s="20" t="n"/>
      <c r="E19" s="19">
        <f>IF(A19="","",IF(OR(A19&lt;YearStart,A19&gt;YearEnd),"-",IF(A19&lt;=P1End,"Q1",IF(A19&lt;=P2End,"Q2",IF(A19&lt;=P3End,"Q3","Q4")))))</f>
        <v/>
      </c>
    </row>
    <row r="20">
      <c r="A20" s="17" t="n"/>
      <c r="D20" s="20" t="n"/>
      <c r="E20" s="19">
        <f>IF(A20="","",IF(OR(A20&lt;YearStart,A20&gt;YearEnd),"-",IF(A20&lt;=P1End,"Q1",IF(A20&lt;=P2End,"Q2",IF(A20&lt;=P3End,"Q3","Q4")))))</f>
        <v/>
      </c>
    </row>
    <row r="21">
      <c r="A21" s="17" t="n"/>
      <c r="D21" s="20" t="n"/>
      <c r="E21" s="19">
        <f>IF(A21="","",IF(OR(A21&lt;YearStart,A21&gt;YearEnd),"-",IF(A21&lt;=P1End,"Q1",IF(A21&lt;=P2End,"Q2",IF(A21&lt;=P3End,"Q3","Q4")))))</f>
        <v/>
      </c>
    </row>
    <row r="22">
      <c r="A22" s="17" t="n"/>
      <c r="D22" s="20" t="n"/>
      <c r="E22" s="19">
        <f>IF(A22="","",IF(OR(A22&lt;YearStart,A22&gt;YearEnd),"-",IF(A22&lt;=P1End,"Q1",IF(A22&lt;=P2End,"Q2",IF(A22&lt;=P3End,"Q3","Q4")))))</f>
        <v/>
      </c>
    </row>
    <row r="23">
      <c r="A23" s="17" t="n"/>
      <c r="D23" s="20" t="n"/>
      <c r="E23" s="19">
        <f>IF(A23="","",IF(OR(A23&lt;YearStart,A23&gt;YearEnd),"-",IF(A23&lt;=P1End,"Q1",IF(A23&lt;=P2End,"Q2",IF(A23&lt;=P3End,"Q3","Q4")))))</f>
        <v/>
      </c>
    </row>
    <row r="24">
      <c r="A24" s="17" t="n"/>
      <c r="D24" s="20" t="n"/>
      <c r="E24" s="19">
        <f>IF(A24="","",IF(OR(A24&lt;YearStart,A24&gt;YearEnd),"-",IF(A24&lt;=P1End,"Q1",IF(A24&lt;=P2End,"Q2",IF(A24&lt;=P3End,"Q3","Q4")))))</f>
        <v/>
      </c>
    </row>
    <row r="25">
      <c r="A25" s="17" t="n"/>
      <c r="D25" s="20" t="n"/>
      <c r="E25" s="19">
        <f>IF(A25="","",IF(OR(A25&lt;YearStart,A25&gt;YearEnd),"-",IF(A25&lt;=P1End,"Q1",IF(A25&lt;=P2End,"Q2",IF(A25&lt;=P3End,"Q3","Q4")))))</f>
        <v/>
      </c>
    </row>
    <row r="26">
      <c r="A26" s="17" t="n"/>
      <c r="D26" s="20" t="n"/>
      <c r="E26" s="19">
        <f>IF(A26="","",IF(OR(A26&lt;YearStart,A26&gt;YearEnd),"-",IF(A26&lt;=P1End,"Q1",IF(A26&lt;=P2End,"Q2",IF(A26&lt;=P3End,"Q3","Q4")))))</f>
        <v/>
      </c>
    </row>
    <row r="27">
      <c r="A27" s="17" t="n"/>
      <c r="D27" s="20" t="n"/>
      <c r="E27" s="19">
        <f>IF(A27="","",IF(OR(A27&lt;YearStart,A27&gt;YearEnd),"-",IF(A27&lt;=P1End,"Q1",IF(A27&lt;=P2End,"Q2",IF(A27&lt;=P3End,"Q3","Q4")))))</f>
        <v/>
      </c>
    </row>
    <row r="28">
      <c r="A28" s="17" t="n"/>
      <c r="D28" s="20" t="n"/>
      <c r="E28" s="19">
        <f>IF(A28="","",IF(OR(A28&lt;YearStart,A28&gt;YearEnd),"-",IF(A28&lt;=P1End,"Q1",IF(A28&lt;=P2End,"Q2",IF(A28&lt;=P3End,"Q3","Q4")))))</f>
        <v/>
      </c>
    </row>
    <row r="29">
      <c r="A29" s="17" t="n"/>
      <c r="D29" s="20" t="n"/>
      <c r="E29" s="19">
        <f>IF(A29="","",IF(OR(A29&lt;YearStart,A29&gt;YearEnd),"-",IF(A29&lt;=P1End,"Q1",IF(A29&lt;=P2End,"Q2",IF(A29&lt;=P3End,"Q3","Q4")))))</f>
        <v/>
      </c>
    </row>
    <row r="30">
      <c r="A30" s="17" t="n"/>
      <c r="D30" s="20" t="n"/>
      <c r="E30" s="19">
        <f>IF(A30="","",IF(OR(A30&lt;YearStart,A30&gt;YearEnd),"-",IF(A30&lt;=P1End,"Q1",IF(A30&lt;=P2End,"Q2",IF(A30&lt;=P3End,"Q3","Q4")))))</f>
        <v/>
      </c>
    </row>
    <row r="31">
      <c r="A31" s="17" t="n"/>
      <c r="D31" s="20" t="n"/>
      <c r="E31" s="19">
        <f>IF(A31="","",IF(OR(A31&lt;YearStart,A31&gt;YearEnd),"-",IF(A31&lt;=P1End,"Q1",IF(A31&lt;=P2End,"Q2",IF(A31&lt;=P3End,"Q3","Q4")))))</f>
        <v/>
      </c>
    </row>
    <row r="32">
      <c r="A32" s="17" t="n"/>
      <c r="D32" s="20" t="n"/>
      <c r="E32" s="19">
        <f>IF(A32="","",IF(OR(A32&lt;YearStart,A32&gt;YearEnd),"-",IF(A32&lt;=P1End,"Q1",IF(A32&lt;=P2End,"Q2",IF(A32&lt;=P3End,"Q3","Q4")))))</f>
        <v/>
      </c>
    </row>
    <row r="33">
      <c r="A33" s="17" t="n"/>
      <c r="D33" s="20" t="n"/>
      <c r="E33" s="19">
        <f>IF(A33="","",IF(OR(A33&lt;YearStart,A33&gt;YearEnd),"-",IF(A33&lt;=P1End,"Q1",IF(A33&lt;=P2End,"Q2",IF(A33&lt;=P3End,"Q3","Q4")))))</f>
        <v/>
      </c>
    </row>
    <row r="34">
      <c r="A34" s="17" t="n"/>
      <c r="D34" s="20" t="n"/>
      <c r="E34" s="19">
        <f>IF(A34="","",IF(OR(A34&lt;YearStart,A34&gt;YearEnd),"-",IF(A34&lt;=P1End,"Q1",IF(A34&lt;=P2End,"Q2",IF(A34&lt;=P3End,"Q3","Q4")))))</f>
        <v/>
      </c>
    </row>
    <row r="35">
      <c r="A35" s="17" t="n"/>
      <c r="D35" s="20" t="n"/>
      <c r="E35" s="19">
        <f>IF(A35="","",IF(OR(A35&lt;YearStart,A35&gt;YearEnd),"-",IF(A35&lt;=P1End,"Q1",IF(A35&lt;=P2End,"Q2",IF(A35&lt;=P3End,"Q3","Q4")))))</f>
        <v/>
      </c>
    </row>
    <row r="36">
      <c r="A36" s="17" t="n"/>
      <c r="D36" s="20" t="n"/>
      <c r="E36" s="19">
        <f>IF(A36="","",IF(OR(A36&lt;YearStart,A36&gt;YearEnd),"-",IF(A36&lt;=P1End,"Q1",IF(A36&lt;=P2End,"Q2",IF(A36&lt;=P3End,"Q3","Q4")))))</f>
        <v/>
      </c>
    </row>
    <row r="37">
      <c r="A37" s="17" t="n"/>
      <c r="D37" s="20" t="n"/>
      <c r="E37" s="19">
        <f>IF(A37="","",IF(OR(A37&lt;YearStart,A37&gt;YearEnd),"-",IF(A37&lt;=P1End,"Q1",IF(A37&lt;=P2End,"Q2",IF(A37&lt;=P3End,"Q3","Q4")))))</f>
        <v/>
      </c>
    </row>
    <row r="38">
      <c r="A38" s="17" t="n"/>
      <c r="D38" s="20" t="n"/>
      <c r="E38" s="19">
        <f>IF(A38="","",IF(OR(A38&lt;YearStart,A38&gt;YearEnd),"-",IF(A38&lt;=P1End,"Q1",IF(A38&lt;=P2End,"Q2",IF(A38&lt;=P3End,"Q3","Q4")))))</f>
        <v/>
      </c>
    </row>
    <row r="39">
      <c r="A39" s="17" t="n"/>
      <c r="D39" s="20" t="n"/>
      <c r="E39" s="19">
        <f>IF(A39="","",IF(OR(A39&lt;YearStart,A39&gt;YearEnd),"-",IF(A39&lt;=P1End,"Q1",IF(A39&lt;=P2End,"Q2",IF(A39&lt;=P3End,"Q3","Q4")))))</f>
        <v/>
      </c>
    </row>
    <row r="40">
      <c r="A40" s="17" t="n"/>
      <c r="D40" s="20" t="n"/>
      <c r="E40" s="19">
        <f>IF(A40="","",IF(OR(A40&lt;YearStart,A40&gt;YearEnd),"-",IF(A40&lt;=P1End,"Q1",IF(A40&lt;=P2End,"Q2",IF(A40&lt;=P3End,"Q3","Q4")))))</f>
        <v/>
      </c>
    </row>
    <row r="41">
      <c r="A41" s="17" t="n"/>
      <c r="D41" s="20" t="n"/>
      <c r="E41" s="19">
        <f>IF(A41="","",IF(OR(A41&lt;YearStart,A41&gt;YearEnd),"-",IF(A41&lt;=P1End,"Q1",IF(A41&lt;=P2End,"Q2",IF(A41&lt;=P3End,"Q3","Q4")))))</f>
        <v/>
      </c>
    </row>
    <row r="42">
      <c r="A42" s="17" t="n"/>
      <c r="D42" s="20" t="n"/>
      <c r="E42" s="19">
        <f>IF(A42="","",IF(OR(A42&lt;YearStart,A42&gt;YearEnd),"-",IF(A42&lt;=P1End,"Q1",IF(A42&lt;=P2End,"Q2",IF(A42&lt;=P3End,"Q3","Q4")))))</f>
        <v/>
      </c>
    </row>
    <row r="43">
      <c r="A43" s="17" t="n"/>
      <c r="D43" s="20" t="n"/>
      <c r="E43" s="19">
        <f>IF(A43="","",IF(OR(A43&lt;YearStart,A43&gt;YearEnd),"-",IF(A43&lt;=P1End,"Q1",IF(A43&lt;=P2End,"Q2",IF(A43&lt;=P3End,"Q3","Q4")))))</f>
        <v/>
      </c>
    </row>
    <row r="44">
      <c r="A44" s="17" t="n"/>
      <c r="D44" s="20" t="n"/>
      <c r="E44" s="19">
        <f>IF(A44="","",IF(OR(A44&lt;YearStart,A44&gt;YearEnd),"-",IF(A44&lt;=P1End,"Q1",IF(A44&lt;=P2End,"Q2",IF(A44&lt;=P3End,"Q3","Q4")))))</f>
        <v/>
      </c>
    </row>
    <row r="45">
      <c r="A45" s="17" t="n"/>
      <c r="D45" s="20" t="n"/>
      <c r="E45" s="19">
        <f>IF(A45="","",IF(OR(A45&lt;YearStart,A45&gt;YearEnd),"-",IF(A45&lt;=P1End,"Q1",IF(A45&lt;=P2End,"Q2",IF(A45&lt;=P3End,"Q3","Q4")))))</f>
        <v/>
      </c>
    </row>
    <row r="46">
      <c r="A46" s="17" t="n"/>
      <c r="D46" s="20" t="n"/>
      <c r="E46" s="19">
        <f>IF(A46="","",IF(OR(A46&lt;YearStart,A46&gt;YearEnd),"-",IF(A46&lt;=P1End,"Q1",IF(A46&lt;=P2End,"Q2",IF(A46&lt;=P3End,"Q3","Q4")))))</f>
        <v/>
      </c>
    </row>
    <row r="47">
      <c r="A47" s="17" t="n"/>
      <c r="D47" s="20" t="n"/>
      <c r="E47" s="19">
        <f>IF(A47="","",IF(OR(A47&lt;YearStart,A47&gt;YearEnd),"-",IF(A47&lt;=P1End,"Q1",IF(A47&lt;=P2End,"Q2",IF(A47&lt;=P3End,"Q3","Q4")))))</f>
        <v/>
      </c>
    </row>
    <row r="48">
      <c r="A48" s="17" t="n"/>
      <c r="D48" s="20" t="n"/>
      <c r="E48" s="19">
        <f>IF(A48="","",IF(OR(A48&lt;YearStart,A48&gt;YearEnd),"-",IF(A48&lt;=P1End,"Q1",IF(A48&lt;=P2End,"Q2",IF(A48&lt;=P3End,"Q3","Q4")))))</f>
        <v/>
      </c>
    </row>
    <row r="49">
      <c r="A49" s="17" t="n"/>
      <c r="D49" s="20" t="n"/>
      <c r="E49" s="19">
        <f>IF(A49="","",IF(OR(A49&lt;YearStart,A49&gt;YearEnd),"-",IF(A49&lt;=P1End,"Q1",IF(A49&lt;=P2End,"Q2",IF(A49&lt;=P3End,"Q3","Q4")))))</f>
        <v/>
      </c>
    </row>
    <row r="50">
      <c r="A50" s="17" t="n"/>
      <c r="D50" s="20" t="n"/>
      <c r="E50" s="19">
        <f>IF(A50="","",IF(OR(A50&lt;YearStart,A50&gt;YearEnd),"-",IF(A50&lt;=P1End,"Q1",IF(A50&lt;=P2End,"Q2",IF(A50&lt;=P3End,"Q3","Q4")))))</f>
        <v/>
      </c>
    </row>
    <row r="51">
      <c r="A51" s="17" t="n"/>
      <c r="D51" s="20" t="n"/>
      <c r="E51" s="19">
        <f>IF(A51="","",IF(OR(A51&lt;YearStart,A51&gt;YearEnd),"-",IF(A51&lt;=P1End,"Q1",IF(A51&lt;=P2End,"Q2",IF(A51&lt;=P3End,"Q3","Q4")))))</f>
        <v/>
      </c>
    </row>
    <row r="52">
      <c r="A52" s="17" t="n"/>
      <c r="D52" s="20" t="n"/>
      <c r="E52" s="19">
        <f>IF(A52="","",IF(OR(A52&lt;YearStart,A52&gt;YearEnd),"-",IF(A52&lt;=P1End,"Q1",IF(A52&lt;=P2End,"Q2",IF(A52&lt;=P3End,"Q3","Q4")))))</f>
        <v/>
      </c>
    </row>
    <row r="53">
      <c r="A53" s="17" t="n"/>
      <c r="D53" s="20" t="n"/>
      <c r="E53" s="19">
        <f>IF(A53="","",IF(OR(A53&lt;YearStart,A53&gt;YearEnd),"-",IF(A53&lt;=P1End,"Q1",IF(A53&lt;=P2End,"Q2",IF(A53&lt;=P3End,"Q3","Q4")))))</f>
        <v/>
      </c>
    </row>
    <row r="54">
      <c r="A54" s="17" t="n"/>
      <c r="D54" s="20" t="n"/>
      <c r="E54" s="19">
        <f>IF(A54="","",IF(OR(A54&lt;YearStart,A54&gt;YearEnd),"-",IF(A54&lt;=P1End,"Q1",IF(A54&lt;=P2End,"Q2",IF(A54&lt;=P3End,"Q3","Q4")))))</f>
        <v/>
      </c>
    </row>
    <row r="55">
      <c r="A55" s="17" t="n"/>
      <c r="D55" s="20" t="n"/>
      <c r="E55" s="19">
        <f>IF(A55="","",IF(OR(A55&lt;YearStart,A55&gt;YearEnd),"-",IF(A55&lt;=P1End,"Q1",IF(A55&lt;=P2End,"Q2",IF(A55&lt;=P3End,"Q3","Q4")))))</f>
        <v/>
      </c>
    </row>
    <row r="56">
      <c r="A56" s="17" t="n"/>
      <c r="D56" s="20" t="n"/>
      <c r="E56" s="19">
        <f>IF(A56="","",IF(OR(A56&lt;YearStart,A56&gt;YearEnd),"-",IF(A56&lt;=P1End,"Q1",IF(A56&lt;=P2End,"Q2",IF(A56&lt;=P3End,"Q3","Q4")))))</f>
        <v/>
      </c>
    </row>
    <row r="57">
      <c r="A57" s="17" t="n"/>
      <c r="D57" s="20" t="n"/>
      <c r="E57" s="19">
        <f>IF(A57="","",IF(OR(A57&lt;YearStart,A57&gt;YearEnd),"-",IF(A57&lt;=P1End,"Q1",IF(A57&lt;=P2End,"Q2",IF(A57&lt;=P3End,"Q3","Q4")))))</f>
        <v/>
      </c>
    </row>
    <row r="58">
      <c r="A58" s="17" t="n"/>
      <c r="D58" s="20" t="n"/>
      <c r="E58" s="19">
        <f>IF(A58="","",IF(OR(A58&lt;YearStart,A58&gt;YearEnd),"-",IF(A58&lt;=P1End,"Q1",IF(A58&lt;=P2End,"Q2",IF(A58&lt;=P3End,"Q3","Q4")))))</f>
        <v/>
      </c>
    </row>
    <row r="59">
      <c r="A59" s="17" t="n"/>
      <c r="D59" s="20" t="n"/>
      <c r="E59" s="19">
        <f>IF(A59="","",IF(OR(A59&lt;YearStart,A59&gt;YearEnd),"-",IF(A59&lt;=P1End,"Q1",IF(A59&lt;=P2End,"Q2",IF(A59&lt;=P3End,"Q3","Q4")))))</f>
        <v/>
      </c>
    </row>
    <row r="60">
      <c r="A60" s="17" t="n"/>
      <c r="D60" s="20" t="n"/>
      <c r="E60" s="19">
        <f>IF(A60="","",IF(OR(A60&lt;YearStart,A60&gt;YearEnd),"-",IF(A60&lt;=P1End,"Q1",IF(A60&lt;=P2End,"Q2",IF(A60&lt;=P3End,"Q3","Q4")))))</f>
        <v/>
      </c>
    </row>
    <row r="61">
      <c r="A61" s="17" t="n"/>
      <c r="D61" s="20" t="n"/>
      <c r="E61" s="19">
        <f>IF(A61="","",IF(OR(A61&lt;YearStart,A61&gt;YearEnd),"-",IF(A61&lt;=P1End,"Q1",IF(A61&lt;=P2End,"Q2",IF(A61&lt;=P3End,"Q3","Q4")))))</f>
        <v/>
      </c>
    </row>
    <row r="62">
      <c r="A62" s="17" t="n"/>
      <c r="D62" s="20" t="n"/>
      <c r="E62" s="19">
        <f>IF(A62="","",IF(OR(A62&lt;YearStart,A62&gt;YearEnd),"-",IF(A62&lt;=P1End,"Q1",IF(A62&lt;=P2End,"Q2",IF(A62&lt;=P3End,"Q3","Q4")))))</f>
        <v/>
      </c>
    </row>
    <row r="63">
      <c r="A63" s="17" t="n"/>
      <c r="D63" s="20" t="n"/>
      <c r="E63" s="19">
        <f>IF(A63="","",IF(OR(A63&lt;YearStart,A63&gt;YearEnd),"-",IF(A63&lt;=P1End,"Q1",IF(A63&lt;=P2End,"Q2",IF(A63&lt;=P3End,"Q3","Q4")))))</f>
        <v/>
      </c>
    </row>
    <row r="64">
      <c r="A64" s="17" t="n"/>
      <c r="D64" s="20" t="n"/>
      <c r="E64" s="19">
        <f>IF(A64="","",IF(OR(A64&lt;YearStart,A64&gt;YearEnd),"-",IF(A64&lt;=P1End,"Q1",IF(A64&lt;=P2End,"Q2",IF(A64&lt;=P3End,"Q3","Q4")))))</f>
        <v/>
      </c>
    </row>
    <row r="65">
      <c r="A65" s="17" t="n"/>
      <c r="D65" s="20" t="n"/>
      <c r="E65" s="19">
        <f>IF(A65="","",IF(OR(A65&lt;YearStart,A65&gt;YearEnd),"-",IF(A65&lt;=P1End,"Q1",IF(A65&lt;=P2End,"Q2",IF(A65&lt;=P3End,"Q3","Q4")))))</f>
        <v/>
      </c>
    </row>
    <row r="66">
      <c r="A66" s="17" t="n"/>
      <c r="D66" s="20" t="n"/>
      <c r="E66" s="19">
        <f>IF(A66="","",IF(OR(A66&lt;YearStart,A66&gt;YearEnd),"-",IF(A66&lt;=P1End,"Q1",IF(A66&lt;=P2End,"Q2",IF(A66&lt;=P3End,"Q3","Q4")))))</f>
        <v/>
      </c>
    </row>
    <row r="67">
      <c r="A67" s="17" t="n"/>
      <c r="D67" s="20" t="n"/>
      <c r="E67" s="19">
        <f>IF(A67="","",IF(OR(A67&lt;YearStart,A67&gt;YearEnd),"-",IF(A67&lt;=P1End,"Q1",IF(A67&lt;=P2End,"Q2",IF(A67&lt;=P3End,"Q3","Q4")))))</f>
        <v/>
      </c>
    </row>
    <row r="68">
      <c r="A68" s="17" t="n"/>
      <c r="D68" s="20" t="n"/>
      <c r="E68" s="19">
        <f>IF(A68="","",IF(OR(A68&lt;YearStart,A68&gt;YearEnd),"-",IF(A68&lt;=P1End,"Q1",IF(A68&lt;=P2End,"Q2",IF(A68&lt;=P3End,"Q3","Q4")))))</f>
        <v/>
      </c>
    </row>
    <row r="69">
      <c r="A69" s="17" t="n"/>
      <c r="D69" s="20" t="n"/>
      <c r="E69" s="19">
        <f>IF(A69="","",IF(OR(A69&lt;YearStart,A69&gt;YearEnd),"-",IF(A69&lt;=P1End,"Q1",IF(A69&lt;=P2End,"Q2",IF(A69&lt;=P3End,"Q3","Q4")))))</f>
        <v/>
      </c>
    </row>
    <row r="70">
      <c r="A70" s="17" t="n"/>
      <c r="D70" s="20" t="n"/>
      <c r="E70" s="19">
        <f>IF(A70="","",IF(OR(A70&lt;YearStart,A70&gt;YearEnd),"-",IF(A70&lt;=P1End,"Q1",IF(A70&lt;=P2End,"Q2",IF(A70&lt;=P3End,"Q3","Q4")))))</f>
        <v/>
      </c>
    </row>
    <row r="71">
      <c r="A71" s="17" t="n"/>
      <c r="D71" s="20" t="n"/>
      <c r="E71" s="19">
        <f>IF(A71="","",IF(OR(A71&lt;YearStart,A71&gt;YearEnd),"-",IF(A71&lt;=P1End,"Q1",IF(A71&lt;=P2End,"Q2",IF(A71&lt;=P3End,"Q3","Q4")))))</f>
        <v/>
      </c>
    </row>
    <row r="72">
      <c r="A72" s="17" t="n"/>
      <c r="D72" s="20" t="n"/>
      <c r="E72" s="19">
        <f>IF(A72="","",IF(OR(A72&lt;YearStart,A72&gt;YearEnd),"-",IF(A72&lt;=P1End,"Q1",IF(A72&lt;=P2End,"Q2",IF(A72&lt;=P3End,"Q3","Q4")))))</f>
        <v/>
      </c>
    </row>
    <row r="73">
      <c r="A73" s="17" t="n"/>
      <c r="D73" s="20" t="n"/>
      <c r="E73" s="19">
        <f>IF(A73="","",IF(OR(A73&lt;YearStart,A73&gt;YearEnd),"-",IF(A73&lt;=P1End,"Q1",IF(A73&lt;=P2End,"Q2",IF(A73&lt;=P3End,"Q3","Q4")))))</f>
        <v/>
      </c>
    </row>
    <row r="74">
      <c r="A74" s="17" t="n"/>
      <c r="D74" s="20" t="n"/>
      <c r="E74" s="19">
        <f>IF(A74="","",IF(OR(A74&lt;YearStart,A74&gt;YearEnd),"-",IF(A74&lt;=P1End,"Q1",IF(A74&lt;=P2End,"Q2",IF(A74&lt;=P3End,"Q3","Q4")))))</f>
        <v/>
      </c>
    </row>
    <row r="75">
      <c r="A75" s="17" t="n"/>
      <c r="D75" s="20" t="n"/>
      <c r="E75" s="19">
        <f>IF(A75="","",IF(OR(A75&lt;YearStart,A75&gt;YearEnd),"-",IF(A75&lt;=P1End,"Q1",IF(A75&lt;=P2End,"Q2",IF(A75&lt;=P3End,"Q3","Q4")))))</f>
        <v/>
      </c>
    </row>
    <row r="76">
      <c r="A76" s="17" t="n"/>
      <c r="D76" s="20" t="n"/>
      <c r="E76" s="19">
        <f>IF(A76="","",IF(OR(A76&lt;YearStart,A76&gt;YearEnd),"-",IF(A76&lt;=P1End,"Q1",IF(A76&lt;=P2End,"Q2",IF(A76&lt;=P3End,"Q3","Q4")))))</f>
        <v/>
      </c>
    </row>
    <row r="77">
      <c r="A77" s="17" t="n"/>
      <c r="D77" s="20" t="n"/>
      <c r="E77" s="19">
        <f>IF(A77="","",IF(OR(A77&lt;YearStart,A77&gt;YearEnd),"-",IF(A77&lt;=P1End,"Q1",IF(A77&lt;=P2End,"Q2",IF(A77&lt;=P3End,"Q3","Q4")))))</f>
        <v/>
      </c>
    </row>
    <row r="78">
      <c r="A78" s="17" t="n"/>
      <c r="D78" s="20" t="n"/>
      <c r="E78" s="19">
        <f>IF(A78="","",IF(OR(A78&lt;YearStart,A78&gt;YearEnd),"-",IF(A78&lt;=P1End,"Q1",IF(A78&lt;=P2End,"Q2",IF(A78&lt;=P3End,"Q3","Q4")))))</f>
        <v/>
      </c>
    </row>
    <row r="79">
      <c r="A79" s="17" t="n"/>
      <c r="D79" s="20" t="n"/>
      <c r="E79" s="19">
        <f>IF(A79="","",IF(OR(A79&lt;YearStart,A79&gt;YearEnd),"-",IF(A79&lt;=P1End,"Q1",IF(A79&lt;=P2End,"Q2",IF(A79&lt;=P3End,"Q3","Q4")))))</f>
        <v/>
      </c>
    </row>
    <row r="80">
      <c r="A80" s="17" t="n"/>
      <c r="D80" s="20" t="n"/>
      <c r="E80" s="19">
        <f>IF(A80="","",IF(OR(A80&lt;YearStart,A80&gt;YearEnd),"-",IF(A80&lt;=P1End,"Q1",IF(A80&lt;=P2End,"Q2",IF(A80&lt;=P3End,"Q3","Q4")))))</f>
        <v/>
      </c>
    </row>
    <row r="81">
      <c r="A81" s="17" t="n"/>
      <c r="D81" s="20" t="n"/>
      <c r="E81" s="19">
        <f>IF(A81="","",IF(OR(A81&lt;YearStart,A81&gt;YearEnd),"-",IF(A81&lt;=P1End,"Q1",IF(A81&lt;=P2End,"Q2",IF(A81&lt;=P3End,"Q3","Q4")))))</f>
        <v/>
      </c>
    </row>
    <row r="82">
      <c r="A82" s="17" t="n"/>
      <c r="D82" s="20" t="n"/>
      <c r="E82" s="19">
        <f>IF(A82="","",IF(OR(A82&lt;YearStart,A82&gt;YearEnd),"-",IF(A82&lt;=P1End,"Q1",IF(A82&lt;=P2End,"Q2",IF(A82&lt;=P3End,"Q3","Q4")))))</f>
        <v/>
      </c>
    </row>
    <row r="83">
      <c r="A83" s="17" t="n"/>
      <c r="D83" s="20" t="n"/>
      <c r="E83" s="19">
        <f>IF(A83="","",IF(OR(A83&lt;YearStart,A83&gt;YearEnd),"-",IF(A83&lt;=P1End,"Q1",IF(A83&lt;=P2End,"Q2",IF(A83&lt;=P3End,"Q3","Q4")))))</f>
        <v/>
      </c>
    </row>
    <row r="84">
      <c r="A84" s="17" t="n"/>
      <c r="D84" s="20" t="n"/>
      <c r="E84" s="19">
        <f>IF(A84="","",IF(OR(A84&lt;YearStart,A84&gt;YearEnd),"-",IF(A84&lt;=P1End,"Q1",IF(A84&lt;=P2End,"Q2",IF(A84&lt;=P3End,"Q3","Q4")))))</f>
        <v/>
      </c>
    </row>
    <row r="85">
      <c r="A85" s="17" t="n"/>
      <c r="D85" s="20" t="n"/>
      <c r="E85" s="19">
        <f>IF(A85="","",IF(OR(A85&lt;YearStart,A85&gt;YearEnd),"-",IF(A85&lt;=P1End,"Q1",IF(A85&lt;=P2End,"Q2",IF(A85&lt;=P3End,"Q3","Q4")))))</f>
        <v/>
      </c>
    </row>
    <row r="86">
      <c r="A86" s="17" t="n"/>
      <c r="D86" s="20" t="n"/>
      <c r="E86" s="19">
        <f>IF(A86="","",IF(OR(A86&lt;YearStart,A86&gt;YearEnd),"-",IF(A86&lt;=P1End,"Q1",IF(A86&lt;=P2End,"Q2",IF(A86&lt;=P3End,"Q3","Q4")))))</f>
        <v/>
      </c>
    </row>
    <row r="87">
      <c r="A87" s="17" t="n"/>
      <c r="D87" s="20" t="n"/>
      <c r="E87" s="19">
        <f>IF(A87="","",IF(OR(A87&lt;YearStart,A87&gt;YearEnd),"-",IF(A87&lt;=P1End,"Q1",IF(A87&lt;=P2End,"Q2",IF(A87&lt;=P3End,"Q3","Q4")))))</f>
        <v/>
      </c>
    </row>
    <row r="88">
      <c r="A88" s="17" t="n"/>
      <c r="D88" s="20" t="n"/>
      <c r="E88" s="19">
        <f>IF(A88="","",IF(OR(A88&lt;YearStart,A88&gt;YearEnd),"-",IF(A88&lt;=P1End,"Q1",IF(A88&lt;=P2End,"Q2",IF(A88&lt;=P3End,"Q3","Q4")))))</f>
        <v/>
      </c>
    </row>
    <row r="89">
      <c r="A89" s="17" t="n"/>
      <c r="D89" s="20" t="n"/>
      <c r="E89" s="19">
        <f>IF(A89="","",IF(OR(A89&lt;YearStart,A89&gt;YearEnd),"-",IF(A89&lt;=P1End,"Q1",IF(A89&lt;=P2End,"Q2",IF(A89&lt;=P3End,"Q3","Q4")))))</f>
        <v/>
      </c>
    </row>
    <row r="90">
      <c r="A90" s="17" t="n"/>
      <c r="D90" s="20" t="n"/>
      <c r="E90" s="19">
        <f>IF(A90="","",IF(OR(A90&lt;YearStart,A90&gt;YearEnd),"-",IF(A90&lt;=P1End,"Q1",IF(A90&lt;=P2End,"Q2",IF(A90&lt;=P3End,"Q3","Q4")))))</f>
        <v/>
      </c>
    </row>
    <row r="91">
      <c r="A91" s="17" t="n"/>
      <c r="D91" s="20" t="n"/>
      <c r="E91" s="19">
        <f>IF(A91="","",IF(OR(A91&lt;YearStart,A91&gt;YearEnd),"-",IF(A91&lt;=P1End,"Q1",IF(A91&lt;=P2End,"Q2",IF(A91&lt;=P3End,"Q3","Q4")))))</f>
        <v/>
      </c>
    </row>
    <row r="92">
      <c r="A92" s="17" t="n"/>
      <c r="D92" s="20" t="n"/>
      <c r="E92" s="19">
        <f>IF(A92="","",IF(OR(A92&lt;YearStart,A92&gt;YearEnd),"-",IF(A92&lt;=P1End,"Q1",IF(A92&lt;=P2End,"Q2",IF(A92&lt;=P3End,"Q3","Q4")))))</f>
        <v/>
      </c>
    </row>
    <row r="93">
      <c r="A93" s="17" t="n"/>
      <c r="D93" s="20" t="n"/>
      <c r="E93" s="19">
        <f>IF(A93="","",IF(OR(A93&lt;YearStart,A93&gt;YearEnd),"-",IF(A93&lt;=P1End,"Q1",IF(A93&lt;=P2End,"Q2",IF(A93&lt;=P3End,"Q3","Q4")))))</f>
        <v/>
      </c>
    </row>
    <row r="94">
      <c r="A94" s="17" t="n"/>
      <c r="D94" s="20" t="n"/>
      <c r="E94" s="19">
        <f>IF(A94="","",IF(OR(A94&lt;YearStart,A94&gt;YearEnd),"-",IF(A94&lt;=P1End,"Q1",IF(A94&lt;=P2End,"Q2",IF(A94&lt;=P3End,"Q3","Q4")))))</f>
        <v/>
      </c>
    </row>
    <row r="95">
      <c r="A95" s="17" t="n"/>
      <c r="D95" s="20" t="n"/>
      <c r="E95" s="19">
        <f>IF(A95="","",IF(OR(A95&lt;YearStart,A95&gt;YearEnd),"-",IF(A95&lt;=P1End,"Q1",IF(A95&lt;=P2End,"Q2",IF(A95&lt;=P3End,"Q3","Q4")))))</f>
        <v/>
      </c>
    </row>
    <row r="96">
      <c r="A96" s="17" t="n"/>
      <c r="D96" s="20" t="n"/>
      <c r="E96" s="19">
        <f>IF(A96="","",IF(OR(A96&lt;YearStart,A96&gt;YearEnd),"-",IF(A96&lt;=P1End,"Q1",IF(A96&lt;=P2End,"Q2",IF(A96&lt;=P3End,"Q3","Q4")))))</f>
        <v/>
      </c>
    </row>
    <row r="97">
      <c r="A97" s="17" t="n"/>
      <c r="D97" s="20" t="n"/>
      <c r="E97" s="19">
        <f>IF(A97="","",IF(OR(A97&lt;YearStart,A97&gt;YearEnd),"-",IF(A97&lt;=P1End,"Q1",IF(A97&lt;=P2End,"Q2",IF(A97&lt;=P3End,"Q3","Q4")))))</f>
        <v/>
      </c>
    </row>
    <row r="98">
      <c r="A98" s="17" t="n"/>
      <c r="D98" s="20" t="n"/>
      <c r="E98" s="19">
        <f>IF(A98="","",IF(OR(A98&lt;YearStart,A98&gt;YearEnd),"-",IF(A98&lt;=P1End,"Q1",IF(A98&lt;=P2End,"Q2",IF(A98&lt;=P3End,"Q3","Q4")))))</f>
        <v/>
      </c>
    </row>
    <row r="99">
      <c r="A99" s="17" t="n"/>
      <c r="D99" s="20" t="n"/>
      <c r="E99" s="19">
        <f>IF(A99="","",IF(OR(A99&lt;YearStart,A99&gt;YearEnd),"-",IF(A99&lt;=P1End,"Q1",IF(A99&lt;=P2End,"Q2",IF(A99&lt;=P3End,"Q3","Q4")))))</f>
        <v/>
      </c>
    </row>
    <row r="100">
      <c r="A100" s="17" t="n"/>
      <c r="D100" s="20" t="n"/>
      <c r="E100" s="19">
        <f>IF(A100="","",IF(OR(A100&lt;YearStart,A100&gt;YearEnd),"-",IF(A100&lt;=P1End,"Q1",IF(A100&lt;=P2End,"Q2",IF(A100&lt;=P3End,"Q3","Q4")))))</f>
        <v/>
      </c>
    </row>
    <row r="101">
      <c r="A101" s="17" t="n"/>
      <c r="D101" s="20" t="n"/>
      <c r="E101" s="19">
        <f>IF(A101="","",IF(OR(A101&lt;YearStart,A101&gt;YearEnd),"-",IF(A101&lt;=P1End,"Q1",IF(A101&lt;=P2End,"Q2",IF(A101&lt;=P3End,"Q3","Q4")))))</f>
        <v/>
      </c>
    </row>
    <row r="102">
      <c r="A102" s="17" t="n"/>
      <c r="D102" s="20" t="n"/>
      <c r="E102" s="19">
        <f>IF(A102="","",IF(OR(A102&lt;YearStart,A102&gt;YearEnd),"-",IF(A102&lt;=P1End,"Q1",IF(A102&lt;=P2End,"Q2",IF(A102&lt;=P3End,"Q3","Q4")))))</f>
        <v/>
      </c>
    </row>
    <row r="103">
      <c r="A103" s="17" t="n"/>
      <c r="D103" s="20" t="n"/>
      <c r="E103" s="19">
        <f>IF(A103="","",IF(OR(A103&lt;YearStart,A103&gt;YearEnd),"-",IF(A103&lt;=P1End,"Q1",IF(A103&lt;=P2End,"Q2",IF(A103&lt;=P3End,"Q3","Q4")))))</f>
        <v/>
      </c>
    </row>
    <row r="104">
      <c r="A104" s="17" t="n"/>
      <c r="D104" s="20" t="n"/>
      <c r="E104" s="19">
        <f>IF(A104="","",IF(OR(A104&lt;YearStart,A104&gt;YearEnd),"-",IF(A104&lt;=P1End,"Q1",IF(A104&lt;=P2End,"Q2",IF(A104&lt;=P3End,"Q3","Q4")))))</f>
        <v/>
      </c>
    </row>
    <row r="105">
      <c r="A105" s="17" t="n"/>
      <c r="D105" s="20" t="n"/>
      <c r="E105" s="19">
        <f>IF(A105="","",IF(OR(A105&lt;YearStart,A105&gt;YearEnd),"-",IF(A105&lt;=P1End,"Q1",IF(A105&lt;=P2End,"Q2",IF(A105&lt;=P3End,"Q3","Q4")))))</f>
        <v/>
      </c>
    </row>
    <row r="106">
      <c r="A106" s="17" t="n"/>
      <c r="D106" s="20" t="n"/>
      <c r="E106" s="19">
        <f>IF(A106="","",IF(OR(A106&lt;YearStart,A106&gt;YearEnd),"-",IF(A106&lt;=P1End,"Q1",IF(A106&lt;=P2End,"Q2",IF(A106&lt;=P3End,"Q3","Q4")))))</f>
        <v/>
      </c>
    </row>
    <row r="107">
      <c r="A107" s="17" t="n"/>
      <c r="D107" s="20" t="n"/>
      <c r="E107" s="19">
        <f>IF(A107="","",IF(OR(A107&lt;YearStart,A107&gt;YearEnd),"-",IF(A107&lt;=P1End,"Q1",IF(A107&lt;=P2End,"Q2",IF(A107&lt;=P3End,"Q3","Q4")))))</f>
        <v/>
      </c>
    </row>
    <row r="108">
      <c r="A108" s="17" t="n"/>
      <c r="D108" s="20" t="n"/>
      <c r="E108" s="19">
        <f>IF(A108="","",IF(OR(A108&lt;YearStart,A108&gt;YearEnd),"-",IF(A108&lt;=P1End,"Q1",IF(A108&lt;=P2End,"Q2",IF(A108&lt;=P3End,"Q3","Q4")))))</f>
        <v/>
      </c>
    </row>
    <row r="109">
      <c r="A109" s="17" t="n"/>
      <c r="D109" s="20" t="n"/>
      <c r="E109" s="19">
        <f>IF(A109="","",IF(OR(A109&lt;YearStart,A109&gt;YearEnd),"-",IF(A109&lt;=P1End,"Q1",IF(A109&lt;=P2End,"Q2",IF(A109&lt;=P3End,"Q3","Q4")))))</f>
        <v/>
      </c>
    </row>
    <row r="110">
      <c r="A110" s="17" t="n"/>
      <c r="D110" s="20" t="n"/>
      <c r="E110" s="19">
        <f>IF(A110="","",IF(OR(A110&lt;YearStart,A110&gt;YearEnd),"-",IF(A110&lt;=P1End,"Q1",IF(A110&lt;=P2End,"Q2",IF(A110&lt;=P3End,"Q3","Q4")))))</f>
        <v/>
      </c>
    </row>
    <row r="111">
      <c r="A111" s="17" t="n"/>
      <c r="D111" s="20" t="n"/>
      <c r="E111" s="19">
        <f>IF(A111="","",IF(OR(A111&lt;YearStart,A111&gt;YearEnd),"-",IF(A111&lt;=P1End,"Q1",IF(A111&lt;=P2End,"Q2",IF(A111&lt;=P3End,"Q3","Q4")))))</f>
        <v/>
      </c>
    </row>
    <row r="112">
      <c r="A112" s="17" t="n"/>
      <c r="D112" s="20" t="n"/>
      <c r="E112" s="19">
        <f>IF(A112="","",IF(OR(A112&lt;YearStart,A112&gt;YearEnd),"-",IF(A112&lt;=P1End,"Q1",IF(A112&lt;=P2End,"Q2",IF(A112&lt;=P3End,"Q3","Q4")))))</f>
        <v/>
      </c>
    </row>
    <row r="113">
      <c r="A113" s="17" t="n"/>
      <c r="D113" s="20" t="n"/>
      <c r="E113" s="19">
        <f>IF(A113="","",IF(OR(A113&lt;YearStart,A113&gt;YearEnd),"-",IF(A113&lt;=P1End,"Q1",IF(A113&lt;=P2End,"Q2",IF(A113&lt;=P3End,"Q3","Q4")))))</f>
        <v/>
      </c>
    </row>
    <row r="114">
      <c r="A114" s="17" t="n"/>
      <c r="D114" s="20" t="n"/>
      <c r="E114" s="19">
        <f>IF(A114="","",IF(OR(A114&lt;YearStart,A114&gt;YearEnd),"-",IF(A114&lt;=P1End,"Q1",IF(A114&lt;=P2End,"Q2",IF(A114&lt;=P3End,"Q3","Q4")))))</f>
        <v/>
      </c>
    </row>
    <row r="115">
      <c r="A115" s="17" t="n"/>
      <c r="D115" s="20" t="n"/>
      <c r="E115" s="19">
        <f>IF(A115="","",IF(OR(A115&lt;YearStart,A115&gt;YearEnd),"-",IF(A115&lt;=P1End,"Q1",IF(A115&lt;=P2End,"Q2",IF(A115&lt;=P3End,"Q3","Q4")))))</f>
        <v/>
      </c>
    </row>
    <row r="116">
      <c r="A116" s="17" t="n"/>
      <c r="D116" s="20" t="n"/>
      <c r="E116" s="19">
        <f>IF(A116="","",IF(OR(A116&lt;YearStart,A116&gt;YearEnd),"-",IF(A116&lt;=P1End,"Q1",IF(A116&lt;=P2End,"Q2",IF(A116&lt;=P3End,"Q3","Q4")))))</f>
        <v/>
      </c>
    </row>
    <row r="117">
      <c r="A117" s="17" t="n"/>
      <c r="D117" s="20" t="n"/>
      <c r="E117" s="19">
        <f>IF(A117="","",IF(OR(A117&lt;YearStart,A117&gt;YearEnd),"-",IF(A117&lt;=P1End,"Q1",IF(A117&lt;=P2End,"Q2",IF(A117&lt;=P3End,"Q3","Q4")))))</f>
        <v/>
      </c>
    </row>
    <row r="118">
      <c r="A118" s="17" t="n"/>
      <c r="D118" s="20" t="n"/>
      <c r="E118" s="19">
        <f>IF(A118="","",IF(OR(A118&lt;YearStart,A118&gt;YearEnd),"-",IF(A118&lt;=P1End,"Q1",IF(A118&lt;=P2End,"Q2",IF(A118&lt;=P3End,"Q3","Q4")))))</f>
        <v/>
      </c>
    </row>
    <row r="119">
      <c r="A119" s="17" t="n"/>
      <c r="D119" s="20" t="n"/>
      <c r="E119" s="19">
        <f>IF(A119="","",IF(OR(A119&lt;YearStart,A119&gt;YearEnd),"-",IF(A119&lt;=P1End,"Q1",IF(A119&lt;=P2End,"Q2",IF(A119&lt;=P3End,"Q3","Q4")))))</f>
        <v/>
      </c>
    </row>
    <row r="120">
      <c r="A120" s="17" t="n"/>
      <c r="D120" s="20" t="n"/>
      <c r="E120" s="19">
        <f>IF(A120="","",IF(OR(A120&lt;YearStart,A120&gt;YearEnd),"-",IF(A120&lt;=P1End,"Q1",IF(A120&lt;=P2End,"Q2",IF(A120&lt;=P3End,"Q3","Q4")))))</f>
        <v/>
      </c>
    </row>
    <row r="121">
      <c r="A121" s="17" t="n"/>
      <c r="D121" s="20" t="n"/>
      <c r="E121" s="19">
        <f>IF(A121="","",IF(OR(A121&lt;YearStart,A121&gt;YearEnd),"-",IF(A121&lt;=P1End,"Q1",IF(A121&lt;=P2End,"Q2",IF(A121&lt;=P3End,"Q3","Q4")))))</f>
        <v/>
      </c>
    </row>
    <row r="122">
      <c r="A122" s="17" t="n"/>
      <c r="D122" s="20" t="n"/>
      <c r="E122" s="19">
        <f>IF(A122="","",IF(OR(A122&lt;YearStart,A122&gt;YearEnd),"-",IF(A122&lt;=P1End,"Q1",IF(A122&lt;=P2End,"Q2",IF(A122&lt;=P3End,"Q3","Q4")))))</f>
        <v/>
      </c>
    </row>
    <row r="123">
      <c r="A123" s="17" t="n"/>
      <c r="D123" s="20" t="n"/>
      <c r="E123" s="19">
        <f>IF(A123="","",IF(OR(A123&lt;YearStart,A123&gt;YearEnd),"-",IF(A123&lt;=P1End,"Q1",IF(A123&lt;=P2End,"Q2",IF(A123&lt;=P3End,"Q3","Q4")))))</f>
        <v/>
      </c>
    </row>
    <row r="124">
      <c r="A124" s="17" t="n"/>
      <c r="D124" s="20" t="n"/>
      <c r="E124" s="19">
        <f>IF(A124="","",IF(OR(A124&lt;YearStart,A124&gt;YearEnd),"-",IF(A124&lt;=P1End,"Q1",IF(A124&lt;=P2End,"Q2",IF(A124&lt;=P3End,"Q3","Q4")))))</f>
        <v/>
      </c>
    </row>
    <row r="125">
      <c r="A125" s="17" t="n"/>
      <c r="D125" s="20" t="n"/>
      <c r="E125" s="19">
        <f>IF(A125="","",IF(OR(A125&lt;YearStart,A125&gt;YearEnd),"-",IF(A125&lt;=P1End,"Q1",IF(A125&lt;=P2End,"Q2",IF(A125&lt;=P3End,"Q3","Q4")))))</f>
        <v/>
      </c>
    </row>
    <row r="126">
      <c r="A126" s="17" t="n"/>
      <c r="D126" s="20" t="n"/>
      <c r="E126" s="19">
        <f>IF(A126="","",IF(OR(A126&lt;YearStart,A126&gt;YearEnd),"-",IF(A126&lt;=P1End,"Q1",IF(A126&lt;=P2End,"Q2",IF(A126&lt;=P3End,"Q3","Q4")))))</f>
        <v/>
      </c>
    </row>
    <row r="127">
      <c r="A127" s="17" t="n"/>
      <c r="D127" s="20" t="n"/>
      <c r="E127" s="19">
        <f>IF(A127="","",IF(OR(A127&lt;YearStart,A127&gt;YearEnd),"-",IF(A127&lt;=P1End,"Q1",IF(A127&lt;=P2End,"Q2",IF(A127&lt;=P3End,"Q3","Q4")))))</f>
        <v/>
      </c>
    </row>
    <row r="128">
      <c r="A128" s="17" t="n"/>
      <c r="D128" s="20" t="n"/>
      <c r="E128" s="19">
        <f>IF(A128="","",IF(OR(A128&lt;YearStart,A128&gt;YearEnd),"-",IF(A128&lt;=P1End,"Q1",IF(A128&lt;=P2End,"Q2",IF(A128&lt;=P3End,"Q3","Q4")))))</f>
        <v/>
      </c>
    </row>
    <row r="129">
      <c r="A129" s="17" t="n"/>
      <c r="D129" s="20" t="n"/>
      <c r="E129" s="19">
        <f>IF(A129="","",IF(OR(A129&lt;YearStart,A129&gt;YearEnd),"-",IF(A129&lt;=P1End,"Q1",IF(A129&lt;=P2End,"Q2",IF(A129&lt;=P3End,"Q3","Q4")))))</f>
        <v/>
      </c>
    </row>
    <row r="130">
      <c r="A130" s="17" t="n"/>
      <c r="D130" s="20" t="n"/>
      <c r="E130" s="19">
        <f>IF(A130="","",IF(OR(A130&lt;YearStart,A130&gt;YearEnd),"-",IF(A130&lt;=P1End,"Q1",IF(A130&lt;=P2End,"Q2",IF(A130&lt;=P3End,"Q3","Q4")))))</f>
        <v/>
      </c>
    </row>
    <row r="131">
      <c r="A131" s="17" t="n"/>
      <c r="D131" s="20" t="n"/>
      <c r="E131" s="19">
        <f>IF(A131="","",IF(OR(A131&lt;YearStart,A131&gt;YearEnd),"-",IF(A131&lt;=P1End,"Q1",IF(A131&lt;=P2End,"Q2",IF(A131&lt;=P3End,"Q3","Q4")))))</f>
        <v/>
      </c>
    </row>
    <row r="132">
      <c r="A132" s="17" t="n"/>
      <c r="D132" s="20" t="n"/>
      <c r="E132" s="19">
        <f>IF(A132="","",IF(OR(A132&lt;YearStart,A132&gt;YearEnd),"-",IF(A132&lt;=P1End,"Q1",IF(A132&lt;=P2End,"Q2",IF(A132&lt;=P3End,"Q3","Q4")))))</f>
        <v/>
      </c>
    </row>
    <row r="133">
      <c r="A133" s="17" t="n"/>
      <c r="D133" s="20" t="n"/>
      <c r="E133" s="19">
        <f>IF(A133="","",IF(OR(A133&lt;YearStart,A133&gt;YearEnd),"-",IF(A133&lt;=P1End,"Q1",IF(A133&lt;=P2End,"Q2",IF(A133&lt;=P3End,"Q3","Q4")))))</f>
        <v/>
      </c>
    </row>
    <row r="134">
      <c r="A134" s="17" t="n"/>
      <c r="D134" s="20" t="n"/>
      <c r="E134" s="19">
        <f>IF(A134="","",IF(OR(A134&lt;YearStart,A134&gt;YearEnd),"-",IF(A134&lt;=P1End,"Q1",IF(A134&lt;=P2End,"Q2",IF(A134&lt;=P3End,"Q3","Q4")))))</f>
        <v/>
      </c>
    </row>
    <row r="135">
      <c r="A135" s="17" t="n"/>
      <c r="D135" s="20" t="n"/>
      <c r="E135" s="19">
        <f>IF(A135="","",IF(OR(A135&lt;YearStart,A135&gt;YearEnd),"-",IF(A135&lt;=P1End,"Q1",IF(A135&lt;=P2End,"Q2",IF(A135&lt;=P3End,"Q3","Q4")))))</f>
        <v/>
      </c>
    </row>
    <row r="136">
      <c r="A136" s="17" t="n"/>
      <c r="D136" s="20" t="n"/>
      <c r="E136" s="19">
        <f>IF(A136="","",IF(OR(A136&lt;YearStart,A136&gt;YearEnd),"-",IF(A136&lt;=P1End,"Q1",IF(A136&lt;=P2End,"Q2",IF(A136&lt;=P3End,"Q3","Q4")))))</f>
        <v/>
      </c>
    </row>
    <row r="137">
      <c r="A137" s="17" t="n"/>
      <c r="D137" s="20" t="n"/>
      <c r="E137" s="19">
        <f>IF(A137="","",IF(OR(A137&lt;YearStart,A137&gt;YearEnd),"-",IF(A137&lt;=P1End,"Q1",IF(A137&lt;=P2End,"Q2",IF(A137&lt;=P3End,"Q3","Q4")))))</f>
        <v/>
      </c>
    </row>
    <row r="138">
      <c r="A138" s="17" t="n"/>
      <c r="D138" s="20" t="n"/>
      <c r="E138" s="19">
        <f>IF(A138="","",IF(OR(A138&lt;YearStart,A138&gt;YearEnd),"-",IF(A138&lt;=P1End,"Q1",IF(A138&lt;=P2End,"Q2",IF(A138&lt;=P3End,"Q3","Q4")))))</f>
        <v/>
      </c>
    </row>
    <row r="139">
      <c r="A139" s="17" t="n"/>
      <c r="D139" s="20" t="n"/>
      <c r="E139" s="19">
        <f>IF(A139="","",IF(OR(A139&lt;YearStart,A139&gt;YearEnd),"-",IF(A139&lt;=P1End,"Q1",IF(A139&lt;=P2End,"Q2",IF(A139&lt;=P3End,"Q3","Q4")))))</f>
        <v/>
      </c>
    </row>
    <row r="140">
      <c r="A140" s="17" t="n"/>
      <c r="D140" s="20" t="n"/>
      <c r="E140" s="19">
        <f>IF(A140="","",IF(OR(A140&lt;YearStart,A140&gt;YearEnd),"-",IF(A140&lt;=P1End,"Q1",IF(A140&lt;=P2End,"Q2",IF(A140&lt;=P3End,"Q3","Q4")))))</f>
        <v/>
      </c>
    </row>
    <row r="141">
      <c r="A141" s="17" t="n"/>
      <c r="D141" s="20" t="n"/>
      <c r="E141" s="19">
        <f>IF(A141="","",IF(OR(A141&lt;YearStart,A141&gt;YearEnd),"-",IF(A141&lt;=P1End,"Q1",IF(A141&lt;=P2End,"Q2",IF(A141&lt;=P3End,"Q3","Q4")))))</f>
        <v/>
      </c>
    </row>
    <row r="142">
      <c r="A142" s="17" t="n"/>
      <c r="D142" s="20" t="n"/>
      <c r="E142" s="19">
        <f>IF(A142="","",IF(OR(A142&lt;YearStart,A142&gt;YearEnd),"-",IF(A142&lt;=P1End,"Q1",IF(A142&lt;=P2End,"Q2",IF(A142&lt;=P3End,"Q3","Q4")))))</f>
        <v/>
      </c>
    </row>
    <row r="143">
      <c r="A143" s="17" t="n"/>
      <c r="D143" s="20" t="n"/>
      <c r="E143" s="19">
        <f>IF(A143="","",IF(OR(A143&lt;YearStart,A143&gt;YearEnd),"-",IF(A143&lt;=P1End,"Q1",IF(A143&lt;=P2End,"Q2",IF(A143&lt;=P3End,"Q3","Q4")))))</f>
        <v/>
      </c>
    </row>
    <row r="144">
      <c r="A144" s="17" t="n"/>
      <c r="D144" s="20" t="n"/>
      <c r="E144" s="19">
        <f>IF(A144="","",IF(OR(A144&lt;YearStart,A144&gt;YearEnd),"-",IF(A144&lt;=P1End,"Q1",IF(A144&lt;=P2End,"Q2",IF(A144&lt;=P3End,"Q3","Q4")))))</f>
        <v/>
      </c>
    </row>
    <row r="145">
      <c r="A145" s="17" t="n"/>
      <c r="D145" s="20" t="n"/>
      <c r="E145" s="19">
        <f>IF(A145="","",IF(OR(A145&lt;YearStart,A145&gt;YearEnd),"-",IF(A145&lt;=P1End,"Q1",IF(A145&lt;=P2End,"Q2",IF(A145&lt;=P3End,"Q3","Q4")))))</f>
        <v/>
      </c>
    </row>
    <row r="146">
      <c r="A146" s="17" t="n"/>
      <c r="D146" s="20" t="n"/>
      <c r="E146" s="19">
        <f>IF(A146="","",IF(OR(A146&lt;YearStart,A146&gt;YearEnd),"-",IF(A146&lt;=P1End,"Q1",IF(A146&lt;=P2End,"Q2",IF(A146&lt;=P3End,"Q3","Q4")))))</f>
        <v/>
      </c>
    </row>
    <row r="147">
      <c r="A147" s="17" t="n"/>
      <c r="D147" s="20" t="n"/>
      <c r="E147" s="19">
        <f>IF(A147="","",IF(OR(A147&lt;YearStart,A147&gt;YearEnd),"-",IF(A147&lt;=P1End,"Q1",IF(A147&lt;=P2End,"Q2",IF(A147&lt;=P3End,"Q3","Q4")))))</f>
        <v/>
      </c>
    </row>
    <row r="148">
      <c r="A148" s="17" t="n"/>
      <c r="D148" s="20" t="n"/>
      <c r="E148" s="19">
        <f>IF(A148="","",IF(OR(A148&lt;YearStart,A148&gt;YearEnd),"-",IF(A148&lt;=P1End,"Q1",IF(A148&lt;=P2End,"Q2",IF(A148&lt;=P3End,"Q3","Q4")))))</f>
        <v/>
      </c>
    </row>
    <row r="149">
      <c r="A149" s="17" t="n"/>
      <c r="D149" s="20" t="n"/>
      <c r="E149" s="19">
        <f>IF(A149="","",IF(OR(A149&lt;YearStart,A149&gt;YearEnd),"-",IF(A149&lt;=P1End,"Q1",IF(A149&lt;=P2End,"Q2",IF(A149&lt;=P3End,"Q3","Q4")))))</f>
        <v/>
      </c>
    </row>
    <row r="150">
      <c r="A150" s="17" t="n"/>
      <c r="D150" s="20" t="n"/>
      <c r="E150" s="19">
        <f>IF(A150="","",IF(OR(A150&lt;YearStart,A150&gt;YearEnd),"-",IF(A150&lt;=P1End,"Q1",IF(A150&lt;=P2End,"Q2",IF(A150&lt;=P3End,"Q3","Q4")))))</f>
        <v/>
      </c>
    </row>
    <row r="151">
      <c r="A151" s="17" t="n"/>
      <c r="D151" s="20" t="n"/>
      <c r="E151" s="19">
        <f>IF(A151="","",IF(OR(A151&lt;YearStart,A151&gt;YearEnd),"-",IF(A151&lt;=P1End,"Q1",IF(A151&lt;=P2End,"Q2",IF(A151&lt;=P3End,"Q3","Q4")))))</f>
        <v/>
      </c>
    </row>
    <row r="152">
      <c r="A152" s="17" t="n"/>
      <c r="D152" s="20" t="n"/>
      <c r="E152" s="19">
        <f>IF(A152="","",IF(OR(A152&lt;YearStart,A152&gt;YearEnd),"-",IF(A152&lt;=P1End,"Q1",IF(A152&lt;=P2End,"Q2",IF(A152&lt;=P3End,"Q3","Q4")))))</f>
        <v/>
      </c>
    </row>
    <row r="153">
      <c r="A153" s="17" t="n"/>
      <c r="D153" s="20" t="n"/>
      <c r="E153" s="19">
        <f>IF(A153="","",IF(OR(A153&lt;YearStart,A153&gt;YearEnd),"-",IF(A153&lt;=P1End,"Q1",IF(A153&lt;=P2End,"Q2",IF(A153&lt;=P3End,"Q3","Q4")))))</f>
        <v/>
      </c>
    </row>
    <row r="154">
      <c r="A154" s="17" t="n"/>
      <c r="D154" s="20" t="n"/>
      <c r="E154" s="19">
        <f>IF(A154="","",IF(OR(A154&lt;YearStart,A154&gt;YearEnd),"-",IF(A154&lt;=P1End,"Q1",IF(A154&lt;=P2End,"Q2",IF(A154&lt;=P3End,"Q3","Q4")))))</f>
        <v/>
      </c>
    </row>
    <row r="155">
      <c r="A155" s="17" t="n"/>
      <c r="D155" s="20" t="n"/>
      <c r="E155" s="19">
        <f>IF(A155="","",IF(OR(A155&lt;YearStart,A155&gt;YearEnd),"-",IF(A155&lt;=P1End,"Q1",IF(A155&lt;=P2End,"Q2",IF(A155&lt;=P3End,"Q3","Q4")))))</f>
        <v/>
      </c>
    </row>
    <row r="156">
      <c r="A156" s="17" t="n"/>
      <c r="D156" s="20" t="n"/>
      <c r="E156" s="19">
        <f>IF(A156="","",IF(OR(A156&lt;YearStart,A156&gt;YearEnd),"-",IF(A156&lt;=P1End,"Q1",IF(A156&lt;=P2End,"Q2",IF(A156&lt;=P3End,"Q3","Q4")))))</f>
        <v/>
      </c>
    </row>
    <row r="157">
      <c r="A157" s="17" t="n"/>
      <c r="D157" s="20" t="n"/>
      <c r="E157" s="19">
        <f>IF(A157="","",IF(OR(A157&lt;YearStart,A157&gt;YearEnd),"-",IF(A157&lt;=P1End,"Q1",IF(A157&lt;=P2End,"Q2",IF(A157&lt;=P3End,"Q3","Q4")))))</f>
        <v/>
      </c>
    </row>
    <row r="158">
      <c r="A158" s="17" t="n"/>
      <c r="D158" s="20" t="n"/>
      <c r="E158" s="19">
        <f>IF(A158="","",IF(OR(A158&lt;YearStart,A158&gt;YearEnd),"-",IF(A158&lt;=P1End,"Q1",IF(A158&lt;=P2End,"Q2",IF(A158&lt;=P3End,"Q3","Q4")))))</f>
        <v/>
      </c>
    </row>
    <row r="159">
      <c r="A159" s="17" t="n"/>
      <c r="D159" s="20" t="n"/>
      <c r="E159" s="19">
        <f>IF(A159="","",IF(OR(A159&lt;YearStart,A159&gt;YearEnd),"-",IF(A159&lt;=P1End,"Q1",IF(A159&lt;=P2End,"Q2",IF(A159&lt;=P3End,"Q3","Q4")))))</f>
        <v/>
      </c>
    </row>
    <row r="160">
      <c r="A160" s="17" t="n"/>
      <c r="D160" s="20" t="n"/>
      <c r="E160" s="19">
        <f>IF(A160="","",IF(OR(A160&lt;YearStart,A160&gt;YearEnd),"-",IF(A160&lt;=P1End,"Q1",IF(A160&lt;=P2End,"Q2",IF(A160&lt;=P3End,"Q3","Q4")))))</f>
        <v/>
      </c>
    </row>
    <row r="161">
      <c r="A161" s="17" t="n"/>
      <c r="D161" s="20" t="n"/>
      <c r="E161" s="19">
        <f>IF(A161="","",IF(OR(A161&lt;YearStart,A161&gt;YearEnd),"-",IF(A161&lt;=P1End,"Q1",IF(A161&lt;=P2End,"Q2",IF(A161&lt;=P3End,"Q3","Q4")))))</f>
        <v/>
      </c>
    </row>
    <row r="162">
      <c r="A162" s="17" t="n"/>
      <c r="D162" s="20" t="n"/>
      <c r="E162" s="19">
        <f>IF(A162="","",IF(OR(A162&lt;YearStart,A162&gt;YearEnd),"-",IF(A162&lt;=P1End,"Q1",IF(A162&lt;=P2End,"Q2",IF(A162&lt;=P3End,"Q3","Q4")))))</f>
        <v/>
      </c>
    </row>
    <row r="163">
      <c r="A163" s="17" t="n"/>
      <c r="D163" s="20" t="n"/>
      <c r="E163" s="19">
        <f>IF(A163="","",IF(OR(A163&lt;YearStart,A163&gt;YearEnd),"-",IF(A163&lt;=P1End,"Q1",IF(A163&lt;=P2End,"Q2",IF(A163&lt;=P3End,"Q3","Q4")))))</f>
        <v/>
      </c>
    </row>
    <row r="164">
      <c r="A164" s="17" t="n"/>
      <c r="D164" s="20" t="n"/>
      <c r="E164" s="19">
        <f>IF(A164="","",IF(OR(A164&lt;YearStart,A164&gt;YearEnd),"-",IF(A164&lt;=P1End,"Q1",IF(A164&lt;=P2End,"Q2",IF(A164&lt;=P3End,"Q3","Q4")))))</f>
        <v/>
      </c>
    </row>
    <row r="165">
      <c r="A165" s="17" t="n"/>
      <c r="D165" s="20" t="n"/>
      <c r="E165" s="19">
        <f>IF(A165="","",IF(OR(A165&lt;YearStart,A165&gt;YearEnd),"-",IF(A165&lt;=P1End,"Q1",IF(A165&lt;=P2End,"Q2",IF(A165&lt;=P3End,"Q3","Q4")))))</f>
        <v/>
      </c>
    </row>
    <row r="166">
      <c r="A166" s="17" t="n"/>
      <c r="D166" s="20" t="n"/>
      <c r="E166" s="19">
        <f>IF(A166="","",IF(OR(A166&lt;YearStart,A166&gt;YearEnd),"-",IF(A166&lt;=P1End,"Q1",IF(A166&lt;=P2End,"Q2",IF(A166&lt;=P3End,"Q3","Q4")))))</f>
        <v/>
      </c>
    </row>
    <row r="167">
      <c r="A167" s="17" t="n"/>
      <c r="D167" s="20" t="n"/>
      <c r="E167" s="19">
        <f>IF(A167="","",IF(OR(A167&lt;YearStart,A167&gt;YearEnd),"-",IF(A167&lt;=P1End,"Q1",IF(A167&lt;=P2End,"Q2",IF(A167&lt;=P3End,"Q3","Q4")))))</f>
        <v/>
      </c>
    </row>
    <row r="168">
      <c r="A168" s="17" t="n"/>
      <c r="D168" s="20" t="n"/>
      <c r="E168" s="19">
        <f>IF(A168="","",IF(OR(A168&lt;YearStart,A168&gt;YearEnd),"-",IF(A168&lt;=P1End,"Q1",IF(A168&lt;=P2End,"Q2",IF(A168&lt;=P3End,"Q3","Q4")))))</f>
        <v/>
      </c>
    </row>
    <row r="169">
      <c r="A169" s="17" t="n"/>
      <c r="D169" s="20" t="n"/>
      <c r="E169" s="19">
        <f>IF(A169="","",IF(OR(A169&lt;YearStart,A169&gt;YearEnd),"-",IF(A169&lt;=P1End,"Q1",IF(A169&lt;=P2End,"Q2",IF(A169&lt;=P3End,"Q3","Q4")))))</f>
        <v/>
      </c>
    </row>
    <row r="170">
      <c r="A170" s="17" t="n"/>
      <c r="D170" s="20" t="n"/>
      <c r="E170" s="19">
        <f>IF(A170="","",IF(OR(A170&lt;YearStart,A170&gt;YearEnd),"-",IF(A170&lt;=P1End,"Q1",IF(A170&lt;=P2End,"Q2",IF(A170&lt;=P3End,"Q3","Q4")))))</f>
        <v/>
      </c>
    </row>
    <row r="171">
      <c r="A171" s="17" t="n"/>
      <c r="D171" s="20" t="n"/>
      <c r="E171" s="19">
        <f>IF(A171="","",IF(OR(A171&lt;YearStart,A171&gt;YearEnd),"-",IF(A171&lt;=P1End,"Q1",IF(A171&lt;=P2End,"Q2",IF(A171&lt;=P3End,"Q3","Q4")))))</f>
        <v/>
      </c>
    </row>
    <row r="172">
      <c r="A172" s="17" t="n"/>
      <c r="D172" s="20" t="n"/>
      <c r="E172" s="19">
        <f>IF(A172="","",IF(OR(A172&lt;YearStart,A172&gt;YearEnd),"-",IF(A172&lt;=P1End,"Q1",IF(A172&lt;=P2End,"Q2",IF(A172&lt;=P3End,"Q3","Q4")))))</f>
        <v/>
      </c>
    </row>
    <row r="173">
      <c r="A173" s="17" t="n"/>
      <c r="D173" s="20" t="n"/>
      <c r="E173" s="19">
        <f>IF(A173="","",IF(OR(A173&lt;YearStart,A173&gt;YearEnd),"-",IF(A173&lt;=P1End,"Q1",IF(A173&lt;=P2End,"Q2",IF(A173&lt;=P3End,"Q3","Q4")))))</f>
        <v/>
      </c>
    </row>
    <row r="174">
      <c r="A174" s="17" t="n"/>
      <c r="D174" s="20" t="n"/>
      <c r="E174" s="19">
        <f>IF(A174="","",IF(OR(A174&lt;YearStart,A174&gt;YearEnd),"-",IF(A174&lt;=P1End,"Q1",IF(A174&lt;=P2End,"Q2",IF(A174&lt;=P3End,"Q3","Q4")))))</f>
        <v/>
      </c>
    </row>
    <row r="175">
      <c r="A175" s="17" t="n"/>
      <c r="D175" s="20" t="n"/>
      <c r="E175" s="19">
        <f>IF(A175="","",IF(OR(A175&lt;YearStart,A175&gt;YearEnd),"-",IF(A175&lt;=P1End,"Q1",IF(A175&lt;=P2End,"Q2",IF(A175&lt;=P3End,"Q3","Q4")))))</f>
        <v/>
      </c>
    </row>
    <row r="176">
      <c r="A176" s="17" t="n"/>
      <c r="D176" s="20" t="n"/>
      <c r="E176" s="19">
        <f>IF(A176="","",IF(OR(A176&lt;YearStart,A176&gt;YearEnd),"-",IF(A176&lt;=P1End,"Q1",IF(A176&lt;=P2End,"Q2",IF(A176&lt;=P3End,"Q3","Q4")))))</f>
        <v/>
      </c>
    </row>
    <row r="177">
      <c r="A177" s="17" t="n"/>
      <c r="D177" s="20" t="n"/>
      <c r="E177" s="19">
        <f>IF(A177="","",IF(OR(A177&lt;YearStart,A177&gt;YearEnd),"-",IF(A177&lt;=P1End,"Q1",IF(A177&lt;=P2End,"Q2",IF(A177&lt;=P3End,"Q3","Q4")))))</f>
        <v/>
      </c>
    </row>
    <row r="178">
      <c r="A178" s="17" t="n"/>
      <c r="D178" s="20" t="n"/>
      <c r="E178" s="19">
        <f>IF(A178="","",IF(OR(A178&lt;YearStart,A178&gt;YearEnd),"-",IF(A178&lt;=P1End,"Q1",IF(A178&lt;=P2End,"Q2",IF(A178&lt;=P3End,"Q3","Q4")))))</f>
        <v/>
      </c>
    </row>
    <row r="179">
      <c r="A179" s="17" t="n"/>
      <c r="D179" s="20" t="n"/>
      <c r="E179" s="19">
        <f>IF(A179="","",IF(OR(A179&lt;YearStart,A179&gt;YearEnd),"-",IF(A179&lt;=P1End,"Q1",IF(A179&lt;=P2End,"Q2",IF(A179&lt;=P3End,"Q3","Q4")))))</f>
        <v/>
      </c>
    </row>
    <row r="180">
      <c r="A180" s="17" t="n"/>
      <c r="D180" s="20" t="n"/>
      <c r="E180" s="19">
        <f>IF(A180="","",IF(OR(A180&lt;YearStart,A180&gt;YearEnd),"-",IF(A180&lt;=P1End,"Q1",IF(A180&lt;=P2End,"Q2",IF(A180&lt;=P3End,"Q3","Q4")))))</f>
        <v/>
      </c>
    </row>
    <row r="181">
      <c r="A181" s="17" t="n"/>
      <c r="D181" s="20" t="n"/>
      <c r="E181" s="19">
        <f>IF(A181="","",IF(OR(A181&lt;YearStart,A181&gt;YearEnd),"-",IF(A181&lt;=P1End,"Q1",IF(A181&lt;=P2End,"Q2",IF(A181&lt;=P3End,"Q3","Q4")))))</f>
        <v/>
      </c>
    </row>
    <row r="182">
      <c r="A182" s="17" t="n"/>
      <c r="D182" s="20" t="n"/>
      <c r="E182" s="19">
        <f>IF(A182="","",IF(OR(A182&lt;YearStart,A182&gt;YearEnd),"-",IF(A182&lt;=P1End,"Q1",IF(A182&lt;=P2End,"Q2",IF(A182&lt;=P3End,"Q3","Q4")))))</f>
        <v/>
      </c>
    </row>
    <row r="183">
      <c r="A183" s="17" t="n"/>
      <c r="D183" s="20" t="n"/>
      <c r="E183" s="19">
        <f>IF(A183="","",IF(OR(A183&lt;YearStart,A183&gt;YearEnd),"-",IF(A183&lt;=P1End,"Q1",IF(A183&lt;=P2End,"Q2",IF(A183&lt;=P3End,"Q3","Q4")))))</f>
        <v/>
      </c>
    </row>
    <row r="184">
      <c r="A184" s="17" t="n"/>
      <c r="D184" s="20" t="n"/>
      <c r="E184" s="19">
        <f>IF(A184="","",IF(OR(A184&lt;YearStart,A184&gt;YearEnd),"-",IF(A184&lt;=P1End,"Q1",IF(A184&lt;=P2End,"Q2",IF(A184&lt;=P3End,"Q3","Q4")))))</f>
        <v/>
      </c>
    </row>
    <row r="185">
      <c r="A185" s="17" t="n"/>
      <c r="D185" s="20" t="n"/>
      <c r="E185" s="19">
        <f>IF(A185="","",IF(OR(A185&lt;YearStart,A185&gt;YearEnd),"-",IF(A185&lt;=P1End,"Q1",IF(A185&lt;=P2End,"Q2",IF(A185&lt;=P3End,"Q3","Q4")))))</f>
        <v/>
      </c>
    </row>
    <row r="186">
      <c r="A186" s="17" t="n"/>
      <c r="D186" s="20" t="n"/>
      <c r="E186" s="19">
        <f>IF(A186="","",IF(OR(A186&lt;YearStart,A186&gt;YearEnd),"-",IF(A186&lt;=P1End,"Q1",IF(A186&lt;=P2End,"Q2",IF(A186&lt;=P3End,"Q3","Q4")))))</f>
        <v/>
      </c>
    </row>
    <row r="187">
      <c r="A187" s="17" t="n"/>
      <c r="D187" s="20" t="n"/>
      <c r="E187" s="19">
        <f>IF(A187="","",IF(OR(A187&lt;YearStart,A187&gt;YearEnd),"-",IF(A187&lt;=P1End,"Q1",IF(A187&lt;=P2End,"Q2",IF(A187&lt;=P3End,"Q3","Q4")))))</f>
        <v/>
      </c>
    </row>
    <row r="188">
      <c r="A188" s="17" t="n"/>
      <c r="D188" s="20" t="n"/>
      <c r="E188" s="19">
        <f>IF(A188="","",IF(OR(A188&lt;YearStart,A188&gt;YearEnd),"-",IF(A188&lt;=P1End,"Q1",IF(A188&lt;=P2End,"Q2",IF(A188&lt;=P3End,"Q3","Q4")))))</f>
        <v/>
      </c>
    </row>
    <row r="189">
      <c r="A189" s="17" t="n"/>
      <c r="D189" s="20" t="n"/>
      <c r="E189" s="19">
        <f>IF(A189="","",IF(OR(A189&lt;YearStart,A189&gt;YearEnd),"-",IF(A189&lt;=P1End,"Q1",IF(A189&lt;=P2End,"Q2",IF(A189&lt;=P3End,"Q3","Q4")))))</f>
        <v/>
      </c>
    </row>
    <row r="190">
      <c r="A190" s="17" t="n"/>
      <c r="D190" s="20" t="n"/>
      <c r="E190" s="19">
        <f>IF(A190="","",IF(OR(A190&lt;YearStart,A190&gt;YearEnd),"-",IF(A190&lt;=P1End,"Q1",IF(A190&lt;=P2End,"Q2",IF(A190&lt;=P3End,"Q3","Q4")))))</f>
        <v/>
      </c>
    </row>
    <row r="191">
      <c r="A191" s="17" t="n"/>
      <c r="D191" s="20" t="n"/>
      <c r="E191" s="19">
        <f>IF(A191="","",IF(OR(A191&lt;YearStart,A191&gt;YearEnd),"-",IF(A191&lt;=P1End,"Q1",IF(A191&lt;=P2End,"Q2",IF(A191&lt;=P3End,"Q3","Q4")))))</f>
        <v/>
      </c>
    </row>
    <row r="192">
      <c r="A192" s="17" t="n"/>
      <c r="D192" s="20" t="n"/>
      <c r="E192" s="19">
        <f>IF(A192="","",IF(OR(A192&lt;YearStart,A192&gt;YearEnd),"-",IF(A192&lt;=P1End,"Q1",IF(A192&lt;=P2End,"Q2",IF(A192&lt;=P3End,"Q3","Q4")))))</f>
        <v/>
      </c>
    </row>
    <row r="193">
      <c r="A193" s="17" t="n"/>
      <c r="D193" s="20" t="n"/>
      <c r="E193" s="19">
        <f>IF(A193="","",IF(OR(A193&lt;YearStart,A193&gt;YearEnd),"-",IF(A193&lt;=P1End,"Q1",IF(A193&lt;=P2End,"Q2",IF(A193&lt;=P3End,"Q3","Q4")))))</f>
        <v/>
      </c>
    </row>
    <row r="194">
      <c r="A194" s="17" t="n"/>
      <c r="D194" s="20" t="n"/>
      <c r="E194" s="19">
        <f>IF(A194="","",IF(OR(A194&lt;YearStart,A194&gt;YearEnd),"-",IF(A194&lt;=P1End,"Q1",IF(A194&lt;=P2End,"Q2",IF(A194&lt;=P3End,"Q3","Q4")))))</f>
        <v/>
      </c>
    </row>
    <row r="195">
      <c r="A195" s="17" t="n"/>
      <c r="D195" s="20" t="n"/>
      <c r="E195" s="19">
        <f>IF(A195="","",IF(OR(A195&lt;YearStart,A195&gt;YearEnd),"-",IF(A195&lt;=P1End,"Q1",IF(A195&lt;=P2End,"Q2",IF(A195&lt;=P3End,"Q3","Q4")))))</f>
        <v/>
      </c>
    </row>
    <row r="196">
      <c r="A196" s="17" t="n"/>
      <c r="D196" s="20" t="n"/>
      <c r="E196" s="19">
        <f>IF(A196="","",IF(OR(A196&lt;YearStart,A196&gt;YearEnd),"-",IF(A196&lt;=P1End,"Q1",IF(A196&lt;=P2End,"Q2",IF(A196&lt;=P3End,"Q3","Q4")))))</f>
        <v/>
      </c>
    </row>
    <row r="197">
      <c r="A197" s="17" t="n"/>
      <c r="D197" s="20" t="n"/>
      <c r="E197" s="19">
        <f>IF(A197="","",IF(OR(A197&lt;YearStart,A197&gt;YearEnd),"-",IF(A197&lt;=P1End,"Q1",IF(A197&lt;=P2End,"Q2",IF(A197&lt;=P3End,"Q3","Q4")))))</f>
        <v/>
      </c>
    </row>
    <row r="198">
      <c r="A198" s="17" t="n"/>
      <c r="D198" s="20" t="n"/>
      <c r="E198" s="19">
        <f>IF(A198="","",IF(OR(A198&lt;YearStart,A198&gt;YearEnd),"-",IF(A198&lt;=P1End,"Q1",IF(A198&lt;=P2End,"Q2",IF(A198&lt;=P3End,"Q3","Q4")))))</f>
        <v/>
      </c>
    </row>
    <row r="199">
      <c r="A199" s="17" t="n"/>
      <c r="D199" s="20" t="n"/>
      <c r="E199" s="19">
        <f>IF(A199="","",IF(OR(A199&lt;YearStart,A199&gt;YearEnd),"-",IF(A199&lt;=P1End,"Q1",IF(A199&lt;=P2End,"Q2",IF(A199&lt;=P3End,"Q3","Q4")))))</f>
        <v/>
      </c>
    </row>
    <row r="200">
      <c r="A200" s="17" t="n"/>
      <c r="D200" s="20" t="n"/>
      <c r="E200" s="19">
        <f>IF(A200="","",IF(OR(A200&lt;YearStart,A200&gt;YearEnd),"-",IF(A200&lt;=P1End,"Q1",IF(A200&lt;=P2End,"Q2",IF(A200&lt;=P3End,"Q3","Q4")))))</f>
        <v/>
      </c>
    </row>
    <row r="201">
      <c r="A201" s="17" t="n"/>
      <c r="D201" s="20" t="n"/>
      <c r="E201" s="19">
        <f>IF(A201="","",IF(OR(A201&lt;YearStart,A201&gt;YearEnd),"-",IF(A201&lt;=P1End,"Q1",IF(A201&lt;=P2End,"Q2",IF(A201&lt;=P3End,"Q3","Q4")))))</f>
        <v/>
      </c>
    </row>
    <row r="202">
      <c r="A202" s="17" t="n"/>
      <c r="D202" s="20" t="n"/>
      <c r="E202" s="19">
        <f>IF(A202="","",IF(OR(A202&lt;YearStart,A202&gt;YearEnd),"-",IF(A202&lt;=P1End,"Q1",IF(A202&lt;=P2End,"Q2",IF(A202&lt;=P3End,"Q3","Q4")))))</f>
        <v/>
      </c>
    </row>
    <row r="203">
      <c r="A203" s="17" t="n"/>
      <c r="D203" s="20" t="n"/>
      <c r="E203" s="19">
        <f>IF(A203="","",IF(OR(A203&lt;YearStart,A203&gt;YearEnd),"-",IF(A203&lt;=P1End,"Q1",IF(A203&lt;=P2End,"Q2",IF(A203&lt;=P3End,"Q3","Q4")))))</f>
        <v/>
      </c>
    </row>
    <row r="204">
      <c r="A204" s="17" t="n"/>
      <c r="D204" s="20" t="n"/>
      <c r="E204" s="19">
        <f>IF(A204="","",IF(OR(A204&lt;YearStart,A204&gt;YearEnd),"-",IF(A204&lt;=P1End,"Q1",IF(A204&lt;=P2End,"Q2",IF(A204&lt;=P3End,"Q3","Q4")))))</f>
        <v/>
      </c>
    </row>
    <row r="205">
      <c r="A205" s="17" t="n"/>
      <c r="D205" s="20" t="n"/>
      <c r="E205" s="19">
        <f>IF(A205="","",IF(OR(A205&lt;YearStart,A205&gt;YearEnd),"-",IF(A205&lt;=P1End,"Q1",IF(A205&lt;=P2End,"Q2",IF(A205&lt;=P3End,"Q3","Q4")))))</f>
        <v/>
      </c>
    </row>
    <row r="206">
      <c r="A206" s="17" t="n"/>
      <c r="D206" s="20" t="n"/>
      <c r="E206" s="19">
        <f>IF(A206="","",IF(OR(A206&lt;YearStart,A206&gt;YearEnd),"-",IF(A206&lt;=P1End,"Q1",IF(A206&lt;=P2End,"Q2",IF(A206&lt;=P3End,"Q3","Q4")))))</f>
        <v/>
      </c>
    </row>
    <row r="207">
      <c r="A207" s="17" t="n"/>
      <c r="D207" s="20" t="n"/>
      <c r="E207" s="19">
        <f>IF(A207="","",IF(OR(A207&lt;YearStart,A207&gt;YearEnd),"-",IF(A207&lt;=P1End,"Q1",IF(A207&lt;=P2End,"Q2",IF(A207&lt;=P3End,"Q3","Q4")))))</f>
        <v/>
      </c>
    </row>
    <row r="208">
      <c r="A208" s="17" t="n"/>
      <c r="D208" s="20" t="n"/>
      <c r="E208" s="19">
        <f>IF(A208="","",IF(OR(A208&lt;YearStart,A208&gt;YearEnd),"-",IF(A208&lt;=P1End,"Q1",IF(A208&lt;=P2End,"Q2",IF(A208&lt;=P3End,"Q3","Q4")))))</f>
        <v/>
      </c>
    </row>
    <row r="209">
      <c r="A209" s="17" t="n"/>
      <c r="D209" s="20" t="n"/>
      <c r="E209" s="19">
        <f>IF(A209="","",IF(OR(A209&lt;YearStart,A209&gt;YearEnd),"-",IF(A209&lt;=P1End,"Q1",IF(A209&lt;=P2End,"Q2",IF(A209&lt;=P3End,"Q3","Q4")))))</f>
        <v/>
      </c>
    </row>
    <row r="210">
      <c r="A210" s="17" t="n"/>
      <c r="D210" s="20" t="n"/>
      <c r="E210" s="19">
        <f>IF(A210="","",IF(OR(A210&lt;YearStart,A210&gt;YearEnd),"-",IF(A210&lt;=P1End,"Q1",IF(A210&lt;=P2End,"Q2",IF(A210&lt;=P3End,"Q3","Q4")))))</f>
        <v/>
      </c>
    </row>
    <row r="211">
      <c r="A211" s="17" t="n"/>
      <c r="D211" s="20" t="n"/>
      <c r="E211" s="19">
        <f>IF(A211="","",IF(OR(A211&lt;YearStart,A211&gt;YearEnd),"-",IF(A211&lt;=P1End,"Q1",IF(A211&lt;=P2End,"Q2",IF(A211&lt;=P3End,"Q3","Q4")))))</f>
        <v/>
      </c>
    </row>
    <row r="212">
      <c r="A212" s="17" t="n"/>
      <c r="D212" s="20" t="n"/>
      <c r="E212" s="19">
        <f>IF(A212="","",IF(OR(A212&lt;YearStart,A212&gt;YearEnd),"-",IF(A212&lt;=P1End,"Q1",IF(A212&lt;=P2End,"Q2",IF(A212&lt;=P3End,"Q3","Q4")))))</f>
        <v/>
      </c>
    </row>
    <row r="213">
      <c r="A213" s="17" t="n"/>
      <c r="D213" s="20" t="n"/>
      <c r="E213" s="19">
        <f>IF(A213="","",IF(OR(A213&lt;YearStart,A213&gt;YearEnd),"-",IF(A213&lt;=P1End,"Q1",IF(A213&lt;=P2End,"Q2",IF(A213&lt;=P3End,"Q3","Q4")))))</f>
        <v/>
      </c>
    </row>
    <row r="214">
      <c r="A214" s="17" t="n"/>
      <c r="D214" s="20" t="n"/>
      <c r="E214" s="19">
        <f>IF(A214="","",IF(OR(A214&lt;YearStart,A214&gt;YearEnd),"-",IF(A214&lt;=P1End,"Q1",IF(A214&lt;=P2End,"Q2",IF(A214&lt;=P3End,"Q3","Q4")))))</f>
        <v/>
      </c>
    </row>
    <row r="215">
      <c r="A215" s="17" t="n"/>
      <c r="D215" s="20" t="n"/>
      <c r="E215" s="19">
        <f>IF(A215="","",IF(OR(A215&lt;YearStart,A215&gt;YearEnd),"-",IF(A215&lt;=P1End,"Q1",IF(A215&lt;=P2End,"Q2",IF(A215&lt;=P3End,"Q3","Q4")))))</f>
        <v/>
      </c>
    </row>
    <row r="216">
      <c r="A216" s="17" t="n"/>
      <c r="D216" s="20" t="n"/>
      <c r="E216" s="19">
        <f>IF(A216="","",IF(OR(A216&lt;YearStart,A216&gt;YearEnd),"-",IF(A216&lt;=P1End,"Q1",IF(A216&lt;=P2End,"Q2",IF(A216&lt;=P3End,"Q3","Q4")))))</f>
        <v/>
      </c>
    </row>
    <row r="217">
      <c r="A217" s="17" t="n"/>
      <c r="D217" s="20" t="n"/>
      <c r="E217" s="19">
        <f>IF(A217="","",IF(OR(A217&lt;YearStart,A217&gt;YearEnd),"-",IF(A217&lt;=P1End,"Q1",IF(A217&lt;=P2End,"Q2",IF(A217&lt;=P3End,"Q3","Q4")))))</f>
        <v/>
      </c>
    </row>
    <row r="218">
      <c r="A218" s="17" t="n"/>
      <c r="D218" s="20" t="n"/>
      <c r="E218" s="19">
        <f>IF(A218="","",IF(OR(A218&lt;YearStart,A218&gt;YearEnd),"-",IF(A218&lt;=P1End,"Q1",IF(A218&lt;=P2End,"Q2",IF(A218&lt;=P3End,"Q3","Q4")))))</f>
        <v/>
      </c>
    </row>
    <row r="219">
      <c r="A219" s="17" t="n"/>
      <c r="D219" s="20" t="n"/>
      <c r="E219" s="19">
        <f>IF(A219="","",IF(OR(A219&lt;YearStart,A219&gt;YearEnd),"-",IF(A219&lt;=P1End,"Q1",IF(A219&lt;=P2End,"Q2",IF(A219&lt;=P3End,"Q3","Q4")))))</f>
        <v/>
      </c>
    </row>
    <row r="220">
      <c r="A220" s="17" t="n"/>
      <c r="D220" s="20" t="n"/>
      <c r="E220" s="19">
        <f>IF(A220="","",IF(OR(A220&lt;YearStart,A220&gt;YearEnd),"-",IF(A220&lt;=P1End,"Q1",IF(A220&lt;=P2End,"Q2",IF(A220&lt;=P3End,"Q3","Q4")))))</f>
        <v/>
      </c>
    </row>
    <row r="221">
      <c r="A221" s="17" t="n"/>
      <c r="D221" s="20" t="n"/>
      <c r="E221" s="19">
        <f>IF(A221="","",IF(OR(A221&lt;YearStart,A221&gt;YearEnd),"-",IF(A221&lt;=P1End,"Q1",IF(A221&lt;=P2End,"Q2",IF(A221&lt;=P3End,"Q3","Q4")))))</f>
        <v/>
      </c>
    </row>
    <row r="222">
      <c r="A222" s="17" t="n"/>
      <c r="D222" s="20" t="n"/>
      <c r="E222" s="19">
        <f>IF(A222="","",IF(OR(A222&lt;YearStart,A222&gt;YearEnd),"-",IF(A222&lt;=P1End,"Q1",IF(A222&lt;=P2End,"Q2",IF(A222&lt;=P3End,"Q3","Q4")))))</f>
        <v/>
      </c>
    </row>
    <row r="223">
      <c r="A223" s="17" t="n"/>
      <c r="D223" s="20" t="n"/>
      <c r="E223" s="19">
        <f>IF(A223="","",IF(OR(A223&lt;YearStart,A223&gt;YearEnd),"-",IF(A223&lt;=P1End,"Q1",IF(A223&lt;=P2End,"Q2",IF(A223&lt;=P3End,"Q3","Q4")))))</f>
        <v/>
      </c>
    </row>
    <row r="224">
      <c r="A224" s="17" t="n"/>
      <c r="D224" s="20" t="n"/>
      <c r="E224" s="19">
        <f>IF(A224="","",IF(OR(A224&lt;YearStart,A224&gt;YearEnd),"-",IF(A224&lt;=P1End,"Q1",IF(A224&lt;=P2End,"Q2",IF(A224&lt;=P3End,"Q3","Q4")))))</f>
        <v/>
      </c>
    </row>
    <row r="225">
      <c r="A225" s="17" t="n"/>
      <c r="D225" s="20" t="n"/>
      <c r="E225" s="19">
        <f>IF(A225="","",IF(OR(A225&lt;YearStart,A225&gt;YearEnd),"-",IF(A225&lt;=P1End,"Q1",IF(A225&lt;=P2End,"Q2",IF(A225&lt;=P3End,"Q3","Q4")))))</f>
        <v/>
      </c>
    </row>
    <row r="226">
      <c r="A226" s="17" t="n"/>
      <c r="D226" s="20" t="n"/>
      <c r="E226" s="19">
        <f>IF(A226="","",IF(OR(A226&lt;YearStart,A226&gt;YearEnd),"-",IF(A226&lt;=P1End,"Q1",IF(A226&lt;=P2End,"Q2",IF(A226&lt;=P3End,"Q3","Q4")))))</f>
        <v/>
      </c>
    </row>
    <row r="227">
      <c r="A227" s="17" t="n"/>
      <c r="D227" s="20" t="n"/>
      <c r="E227" s="19">
        <f>IF(A227="","",IF(OR(A227&lt;YearStart,A227&gt;YearEnd),"-",IF(A227&lt;=P1End,"Q1",IF(A227&lt;=P2End,"Q2",IF(A227&lt;=P3End,"Q3","Q4")))))</f>
        <v/>
      </c>
    </row>
    <row r="228">
      <c r="A228" s="17" t="n"/>
      <c r="D228" s="20" t="n"/>
      <c r="E228" s="19">
        <f>IF(A228="","",IF(OR(A228&lt;YearStart,A228&gt;YearEnd),"-",IF(A228&lt;=P1End,"Q1",IF(A228&lt;=P2End,"Q2",IF(A228&lt;=P3End,"Q3","Q4")))))</f>
        <v/>
      </c>
    </row>
    <row r="229">
      <c r="A229" s="17" t="n"/>
      <c r="D229" s="20" t="n"/>
      <c r="E229" s="19">
        <f>IF(A229="","",IF(OR(A229&lt;YearStart,A229&gt;YearEnd),"-",IF(A229&lt;=P1End,"Q1",IF(A229&lt;=P2End,"Q2",IF(A229&lt;=P3End,"Q3","Q4")))))</f>
        <v/>
      </c>
    </row>
    <row r="230">
      <c r="A230" s="17" t="n"/>
      <c r="D230" s="20" t="n"/>
      <c r="E230" s="19">
        <f>IF(A230="","",IF(OR(A230&lt;YearStart,A230&gt;YearEnd),"-",IF(A230&lt;=P1End,"Q1",IF(A230&lt;=P2End,"Q2",IF(A230&lt;=P3End,"Q3","Q4")))))</f>
        <v/>
      </c>
    </row>
    <row r="231">
      <c r="A231" s="17" t="n"/>
      <c r="D231" s="20" t="n"/>
      <c r="E231" s="19">
        <f>IF(A231="","",IF(OR(A231&lt;YearStart,A231&gt;YearEnd),"-",IF(A231&lt;=P1End,"Q1",IF(A231&lt;=P2End,"Q2",IF(A231&lt;=P3End,"Q3","Q4")))))</f>
        <v/>
      </c>
    </row>
    <row r="232">
      <c r="A232" s="17" t="n"/>
      <c r="D232" s="20" t="n"/>
      <c r="E232" s="19">
        <f>IF(A232="","",IF(OR(A232&lt;YearStart,A232&gt;YearEnd),"-",IF(A232&lt;=P1End,"Q1",IF(A232&lt;=P2End,"Q2",IF(A232&lt;=P3End,"Q3","Q4")))))</f>
        <v/>
      </c>
    </row>
    <row r="233">
      <c r="A233" s="17" t="n"/>
      <c r="D233" s="20" t="n"/>
      <c r="E233" s="19">
        <f>IF(A233="","",IF(OR(A233&lt;YearStart,A233&gt;YearEnd),"-",IF(A233&lt;=P1End,"Q1",IF(A233&lt;=P2End,"Q2",IF(A233&lt;=P3End,"Q3","Q4")))))</f>
        <v/>
      </c>
    </row>
    <row r="234">
      <c r="A234" s="17" t="n"/>
      <c r="D234" s="20" t="n"/>
      <c r="E234" s="19">
        <f>IF(A234="","",IF(OR(A234&lt;YearStart,A234&gt;YearEnd),"-",IF(A234&lt;=P1End,"Q1",IF(A234&lt;=P2End,"Q2",IF(A234&lt;=P3End,"Q3","Q4")))))</f>
        <v/>
      </c>
    </row>
    <row r="235">
      <c r="A235" s="17" t="n"/>
      <c r="D235" s="20" t="n"/>
      <c r="E235" s="19">
        <f>IF(A235="","",IF(OR(A235&lt;YearStart,A235&gt;YearEnd),"-",IF(A235&lt;=P1End,"Q1",IF(A235&lt;=P2End,"Q2",IF(A235&lt;=P3End,"Q3","Q4")))))</f>
        <v/>
      </c>
    </row>
    <row r="236">
      <c r="A236" s="17" t="n"/>
      <c r="D236" s="20" t="n"/>
      <c r="E236" s="19">
        <f>IF(A236="","",IF(OR(A236&lt;YearStart,A236&gt;YearEnd),"-",IF(A236&lt;=P1End,"Q1",IF(A236&lt;=P2End,"Q2",IF(A236&lt;=P3End,"Q3","Q4")))))</f>
        <v/>
      </c>
    </row>
    <row r="237">
      <c r="A237" s="17" t="n"/>
      <c r="D237" s="20" t="n"/>
      <c r="E237" s="19">
        <f>IF(A237="","",IF(OR(A237&lt;YearStart,A237&gt;YearEnd),"-",IF(A237&lt;=P1End,"Q1",IF(A237&lt;=P2End,"Q2",IF(A237&lt;=P3End,"Q3","Q4")))))</f>
        <v/>
      </c>
    </row>
    <row r="238">
      <c r="A238" s="17" t="n"/>
      <c r="D238" s="20" t="n"/>
      <c r="E238" s="19">
        <f>IF(A238="","",IF(OR(A238&lt;YearStart,A238&gt;YearEnd),"-",IF(A238&lt;=P1End,"Q1",IF(A238&lt;=P2End,"Q2",IF(A238&lt;=P3End,"Q3","Q4")))))</f>
        <v/>
      </c>
    </row>
    <row r="239">
      <c r="A239" s="17" t="n"/>
      <c r="D239" s="20" t="n"/>
      <c r="E239" s="19">
        <f>IF(A239="","",IF(OR(A239&lt;YearStart,A239&gt;YearEnd),"-",IF(A239&lt;=P1End,"Q1",IF(A239&lt;=P2End,"Q2",IF(A239&lt;=P3End,"Q3","Q4")))))</f>
        <v/>
      </c>
    </row>
    <row r="240">
      <c r="A240" s="17" t="n"/>
      <c r="D240" s="20" t="n"/>
      <c r="E240" s="19">
        <f>IF(A240="","",IF(OR(A240&lt;YearStart,A240&gt;YearEnd),"-",IF(A240&lt;=P1End,"Q1",IF(A240&lt;=P2End,"Q2",IF(A240&lt;=P3End,"Q3","Q4")))))</f>
        <v/>
      </c>
    </row>
    <row r="241">
      <c r="A241" s="17" t="n"/>
      <c r="D241" s="20" t="n"/>
      <c r="E241" s="19">
        <f>IF(A241="","",IF(OR(A241&lt;YearStart,A241&gt;YearEnd),"-",IF(A241&lt;=P1End,"Q1",IF(A241&lt;=P2End,"Q2",IF(A241&lt;=P3End,"Q3","Q4")))))</f>
        <v/>
      </c>
    </row>
    <row r="242">
      <c r="A242" s="17" t="n"/>
      <c r="D242" s="20" t="n"/>
      <c r="E242" s="19">
        <f>IF(A242="","",IF(OR(A242&lt;YearStart,A242&gt;YearEnd),"-",IF(A242&lt;=P1End,"Q1",IF(A242&lt;=P2End,"Q2",IF(A242&lt;=P3End,"Q3","Q4")))))</f>
        <v/>
      </c>
    </row>
    <row r="243">
      <c r="A243" s="17" t="n"/>
      <c r="D243" s="20" t="n"/>
      <c r="E243" s="19">
        <f>IF(A243="","",IF(OR(A243&lt;YearStart,A243&gt;YearEnd),"-",IF(A243&lt;=P1End,"Q1",IF(A243&lt;=P2End,"Q2",IF(A243&lt;=P3End,"Q3","Q4")))))</f>
        <v/>
      </c>
    </row>
    <row r="244">
      <c r="A244" s="17" t="n"/>
      <c r="D244" s="20" t="n"/>
      <c r="E244" s="19">
        <f>IF(A244="","",IF(OR(A244&lt;YearStart,A244&gt;YearEnd),"-",IF(A244&lt;=P1End,"Q1",IF(A244&lt;=P2End,"Q2",IF(A244&lt;=P3End,"Q3","Q4")))))</f>
        <v/>
      </c>
    </row>
    <row r="245">
      <c r="A245" s="17" t="n"/>
      <c r="D245" s="20" t="n"/>
      <c r="E245" s="19">
        <f>IF(A245="","",IF(OR(A245&lt;YearStart,A245&gt;YearEnd),"-",IF(A245&lt;=P1End,"Q1",IF(A245&lt;=P2End,"Q2",IF(A245&lt;=P3End,"Q3","Q4")))))</f>
        <v/>
      </c>
    </row>
    <row r="246">
      <c r="A246" s="17" t="n"/>
      <c r="D246" s="20" t="n"/>
      <c r="E246" s="19">
        <f>IF(A246="","",IF(OR(A246&lt;YearStart,A246&gt;YearEnd),"-",IF(A246&lt;=P1End,"Q1",IF(A246&lt;=P2End,"Q2",IF(A246&lt;=P3End,"Q3","Q4")))))</f>
        <v/>
      </c>
    </row>
    <row r="247">
      <c r="A247" s="17" t="n"/>
      <c r="D247" s="20" t="n"/>
      <c r="E247" s="19">
        <f>IF(A247="","",IF(OR(A247&lt;YearStart,A247&gt;YearEnd),"-",IF(A247&lt;=P1End,"Q1",IF(A247&lt;=P2End,"Q2",IF(A247&lt;=P3End,"Q3","Q4")))))</f>
        <v/>
      </c>
    </row>
    <row r="248">
      <c r="A248" s="17" t="n"/>
      <c r="D248" s="20" t="n"/>
      <c r="E248" s="19">
        <f>IF(A248="","",IF(OR(A248&lt;YearStart,A248&gt;YearEnd),"-",IF(A248&lt;=P1End,"Q1",IF(A248&lt;=P2End,"Q2",IF(A248&lt;=P3End,"Q3","Q4")))))</f>
        <v/>
      </c>
    </row>
    <row r="249">
      <c r="A249" s="17" t="n"/>
      <c r="D249" s="20" t="n"/>
      <c r="E249" s="19">
        <f>IF(A249="","",IF(OR(A249&lt;YearStart,A249&gt;YearEnd),"-",IF(A249&lt;=P1End,"Q1",IF(A249&lt;=P2End,"Q2",IF(A249&lt;=P3End,"Q3","Q4")))))</f>
        <v/>
      </c>
    </row>
    <row r="250">
      <c r="A250" s="17" t="n"/>
      <c r="D250" s="20" t="n"/>
      <c r="E250" s="19">
        <f>IF(A250="","",IF(OR(A250&lt;YearStart,A250&gt;YearEnd),"-",IF(A250&lt;=P1End,"Q1",IF(A250&lt;=P2End,"Q2",IF(A250&lt;=P3End,"Q3","Q4")))))</f>
        <v/>
      </c>
    </row>
    <row r="251">
      <c r="A251" s="17" t="n"/>
      <c r="D251" s="20" t="n"/>
      <c r="E251" s="19">
        <f>IF(A251="","",IF(OR(A251&lt;YearStart,A251&gt;YearEnd),"-",IF(A251&lt;=P1End,"Q1",IF(A251&lt;=P2End,"Q2",IF(A251&lt;=P3End,"Q3","Q4")))))</f>
        <v/>
      </c>
    </row>
    <row r="252">
      <c r="A252" s="17" t="n"/>
      <c r="D252" s="20" t="n"/>
      <c r="E252" s="19">
        <f>IF(A252="","",IF(OR(A252&lt;YearStart,A252&gt;YearEnd),"-",IF(A252&lt;=P1End,"Q1",IF(A252&lt;=P2End,"Q2",IF(A252&lt;=P3End,"Q3","Q4")))))</f>
        <v/>
      </c>
    </row>
    <row r="253">
      <c r="A253" s="17" t="n"/>
      <c r="D253" s="20" t="n"/>
      <c r="E253" s="19">
        <f>IF(A253="","",IF(OR(A253&lt;YearStart,A253&gt;YearEnd),"-",IF(A253&lt;=P1End,"Q1",IF(A253&lt;=P2End,"Q2",IF(A253&lt;=P3End,"Q3","Q4")))))</f>
        <v/>
      </c>
    </row>
    <row r="254">
      <c r="A254" s="17" t="n"/>
      <c r="D254" s="20" t="n"/>
      <c r="E254" s="19">
        <f>IF(A254="","",IF(OR(A254&lt;YearStart,A254&gt;YearEnd),"-",IF(A254&lt;=P1End,"Q1",IF(A254&lt;=P2End,"Q2",IF(A254&lt;=P3End,"Q3","Q4")))))</f>
        <v/>
      </c>
    </row>
    <row r="255">
      <c r="A255" s="17" t="n"/>
      <c r="D255" s="20" t="n"/>
      <c r="E255" s="19">
        <f>IF(A255="","",IF(OR(A255&lt;YearStart,A255&gt;YearEnd),"-",IF(A255&lt;=P1End,"Q1",IF(A255&lt;=P2End,"Q2",IF(A255&lt;=P3End,"Q3","Q4")))))</f>
        <v/>
      </c>
    </row>
    <row r="256">
      <c r="A256" s="17" t="n"/>
      <c r="D256" s="20" t="n"/>
      <c r="E256" s="19">
        <f>IF(A256="","",IF(OR(A256&lt;YearStart,A256&gt;YearEnd),"-",IF(A256&lt;=P1End,"Q1",IF(A256&lt;=P2End,"Q2",IF(A256&lt;=P3End,"Q3","Q4")))))</f>
        <v/>
      </c>
    </row>
    <row r="257">
      <c r="A257" s="17" t="n"/>
      <c r="D257" s="20" t="n"/>
      <c r="E257" s="19">
        <f>IF(A257="","",IF(OR(A257&lt;YearStart,A257&gt;YearEnd),"-",IF(A257&lt;=P1End,"Q1",IF(A257&lt;=P2End,"Q2",IF(A257&lt;=P3End,"Q3","Q4")))))</f>
        <v/>
      </c>
    </row>
    <row r="258">
      <c r="A258" s="17" t="n"/>
      <c r="D258" s="20" t="n"/>
      <c r="E258" s="19">
        <f>IF(A258="","",IF(OR(A258&lt;YearStart,A258&gt;YearEnd),"-",IF(A258&lt;=P1End,"Q1",IF(A258&lt;=P2End,"Q2",IF(A258&lt;=P3End,"Q3","Q4")))))</f>
        <v/>
      </c>
    </row>
    <row r="259">
      <c r="A259" s="17" t="n"/>
      <c r="D259" s="20" t="n"/>
      <c r="E259" s="19">
        <f>IF(A259="","",IF(OR(A259&lt;YearStart,A259&gt;YearEnd),"-",IF(A259&lt;=P1End,"Q1",IF(A259&lt;=P2End,"Q2",IF(A259&lt;=P3End,"Q3","Q4")))))</f>
        <v/>
      </c>
    </row>
    <row r="260">
      <c r="A260" s="17" t="n"/>
      <c r="D260" s="20" t="n"/>
      <c r="E260" s="19">
        <f>IF(A260="","",IF(OR(A260&lt;YearStart,A260&gt;YearEnd),"-",IF(A260&lt;=P1End,"Q1",IF(A260&lt;=P2End,"Q2",IF(A260&lt;=P3End,"Q3","Q4")))))</f>
        <v/>
      </c>
    </row>
    <row r="261">
      <c r="A261" s="17" t="n"/>
      <c r="D261" s="20" t="n"/>
      <c r="E261" s="19">
        <f>IF(A261="","",IF(OR(A261&lt;YearStart,A261&gt;YearEnd),"-",IF(A261&lt;=P1End,"Q1",IF(A261&lt;=P2End,"Q2",IF(A261&lt;=P3End,"Q3","Q4")))))</f>
        <v/>
      </c>
    </row>
    <row r="262">
      <c r="A262" s="17" t="n"/>
      <c r="D262" s="20" t="n"/>
      <c r="E262" s="19">
        <f>IF(A262="","",IF(OR(A262&lt;YearStart,A262&gt;YearEnd),"-",IF(A262&lt;=P1End,"Q1",IF(A262&lt;=P2End,"Q2",IF(A262&lt;=P3End,"Q3","Q4")))))</f>
        <v/>
      </c>
    </row>
    <row r="263">
      <c r="A263" s="17" t="n"/>
      <c r="D263" s="20" t="n"/>
      <c r="E263" s="19">
        <f>IF(A263="","",IF(OR(A263&lt;YearStart,A263&gt;YearEnd),"-",IF(A263&lt;=P1End,"Q1",IF(A263&lt;=P2End,"Q2",IF(A263&lt;=P3End,"Q3","Q4")))))</f>
        <v/>
      </c>
    </row>
    <row r="264">
      <c r="A264" s="17" t="n"/>
      <c r="D264" s="20" t="n"/>
      <c r="E264" s="19">
        <f>IF(A264="","",IF(OR(A264&lt;YearStart,A264&gt;YearEnd),"-",IF(A264&lt;=P1End,"Q1",IF(A264&lt;=P2End,"Q2",IF(A264&lt;=P3End,"Q3","Q4")))))</f>
        <v/>
      </c>
    </row>
    <row r="265">
      <c r="A265" s="17" t="n"/>
      <c r="D265" s="20" t="n"/>
      <c r="E265" s="19">
        <f>IF(A265="","",IF(OR(A265&lt;YearStart,A265&gt;YearEnd),"-",IF(A265&lt;=P1End,"Q1",IF(A265&lt;=P2End,"Q2",IF(A265&lt;=P3End,"Q3","Q4")))))</f>
        <v/>
      </c>
    </row>
    <row r="266">
      <c r="A266" s="17" t="n"/>
      <c r="D266" s="20" t="n"/>
      <c r="E266" s="19">
        <f>IF(A266="","",IF(OR(A266&lt;YearStart,A266&gt;YearEnd),"-",IF(A266&lt;=P1End,"Q1",IF(A266&lt;=P2End,"Q2",IF(A266&lt;=P3End,"Q3","Q4")))))</f>
        <v/>
      </c>
    </row>
    <row r="267">
      <c r="A267" s="17" t="n"/>
      <c r="D267" s="20" t="n"/>
      <c r="E267" s="19">
        <f>IF(A267="","",IF(OR(A267&lt;YearStart,A267&gt;YearEnd),"-",IF(A267&lt;=P1End,"Q1",IF(A267&lt;=P2End,"Q2",IF(A267&lt;=P3End,"Q3","Q4")))))</f>
        <v/>
      </c>
    </row>
    <row r="268">
      <c r="A268" s="17" t="n"/>
      <c r="D268" s="20" t="n"/>
      <c r="E268" s="19">
        <f>IF(A268="","",IF(OR(A268&lt;YearStart,A268&gt;YearEnd),"-",IF(A268&lt;=P1End,"Q1",IF(A268&lt;=P2End,"Q2",IF(A268&lt;=P3End,"Q3","Q4")))))</f>
        <v/>
      </c>
    </row>
    <row r="269">
      <c r="A269" s="17" t="n"/>
      <c r="D269" s="20" t="n"/>
      <c r="E269" s="19">
        <f>IF(A269="","",IF(OR(A269&lt;YearStart,A269&gt;YearEnd),"-",IF(A269&lt;=P1End,"Q1",IF(A269&lt;=P2End,"Q2",IF(A269&lt;=P3End,"Q3","Q4")))))</f>
        <v/>
      </c>
    </row>
    <row r="270">
      <c r="A270" s="17" t="n"/>
      <c r="D270" s="20" t="n"/>
      <c r="E270" s="19">
        <f>IF(A270="","",IF(OR(A270&lt;YearStart,A270&gt;YearEnd),"-",IF(A270&lt;=P1End,"Q1",IF(A270&lt;=P2End,"Q2",IF(A270&lt;=P3End,"Q3","Q4")))))</f>
        <v/>
      </c>
    </row>
    <row r="271">
      <c r="A271" s="17" t="n"/>
      <c r="D271" s="20" t="n"/>
      <c r="E271" s="19">
        <f>IF(A271="","",IF(OR(A271&lt;YearStart,A271&gt;YearEnd),"-",IF(A271&lt;=P1End,"Q1",IF(A271&lt;=P2End,"Q2",IF(A271&lt;=P3End,"Q3","Q4")))))</f>
        <v/>
      </c>
    </row>
    <row r="272">
      <c r="A272" s="17" t="n"/>
      <c r="D272" s="20" t="n"/>
      <c r="E272" s="19">
        <f>IF(A272="","",IF(OR(A272&lt;YearStart,A272&gt;YearEnd),"-",IF(A272&lt;=P1End,"Q1",IF(A272&lt;=P2End,"Q2",IF(A272&lt;=P3End,"Q3","Q4")))))</f>
        <v/>
      </c>
    </row>
    <row r="273">
      <c r="A273" s="17" t="n"/>
      <c r="D273" s="20" t="n"/>
      <c r="E273" s="19">
        <f>IF(A273="","",IF(OR(A273&lt;YearStart,A273&gt;YearEnd),"-",IF(A273&lt;=P1End,"Q1",IF(A273&lt;=P2End,"Q2",IF(A273&lt;=P3End,"Q3","Q4")))))</f>
        <v/>
      </c>
    </row>
    <row r="274">
      <c r="A274" s="17" t="n"/>
      <c r="D274" s="20" t="n"/>
      <c r="E274" s="19">
        <f>IF(A274="","",IF(OR(A274&lt;YearStart,A274&gt;YearEnd),"-",IF(A274&lt;=P1End,"Q1",IF(A274&lt;=P2End,"Q2",IF(A274&lt;=P3End,"Q3","Q4")))))</f>
        <v/>
      </c>
    </row>
    <row r="275">
      <c r="A275" s="17" t="n"/>
      <c r="D275" s="20" t="n"/>
      <c r="E275" s="19">
        <f>IF(A275="","",IF(OR(A275&lt;YearStart,A275&gt;YearEnd),"-",IF(A275&lt;=P1End,"Q1",IF(A275&lt;=P2End,"Q2",IF(A275&lt;=P3End,"Q3","Q4")))))</f>
        <v/>
      </c>
    </row>
    <row r="276">
      <c r="A276" s="17" t="n"/>
      <c r="D276" s="20" t="n"/>
      <c r="E276" s="19">
        <f>IF(A276="","",IF(OR(A276&lt;YearStart,A276&gt;YearEnd),"-",IF(A276&lt;=P1End,"Q1",IF(A276&lt;=P2End,"Q2",IF(A276&lt;=P3End,"Q3","Q4")))))</f>
        <v/>
      </c>
    </row>
    <row r="277">
      <c r="A277" s="17" t="n"/>
      <c r="D277" s="20" t="n"/>
      <c r="E277" s="19">
        <f>IF(A277="","",IF(OR(A277&lt;YearStart,A277&gt;YearEnd),"-",IF(A277&lt;=P1End,"Q1",IF(A277&lt;=P2End,"Q2",IF(A277&lt;=P3End,"Q3","Q4")))))</f>
        <v/>
      </c>
    </row>
    <row r="278">
      <c r="A278" s="17" t="n"/>
      <c r="D278" s="20" t="n"/>
      <c r="E278" s="19">
        <f>IF(A278="","",IF(OR(A278&lt;YearStart,A278&gt;YearEnd),"-",IF(A278&lt;=P1End,"Q1",IF(A278&lt;=P2End,"Q2",IF(A278&lt;=P3End,"Q3","Q4")))))</f>
        <v/>
      </c>
    </row>
    <row r="279">
      <c r="A279" s="17" t="n"/>
      <c r="D279" s="20" t="n"/>
      <c r="E279" s="19">
        <f>IF(A279="","",IF(OR(A279&lt;YearStart,A279&gt;YearEnd),"-",IF(A279&lt;=P1End,"Q1",IF(A279&lt;=P2End,"Q2",IF(A279&lt;=P3End,"Q3","Q4")))))</f>
        <v/>
      </c>
    </row>
    <row r="280">
      <c r="A280" s="17" t="n"/>
      <c r="D280" s="20" t="n"/>
      <c r="E280" s="19">
        <f>IF(A280="","",IF(OR(A280&lt;YearStart,A280&gt;YearEnd),"-",IF(A280&lt;=P1End,"Q1",IF(A280&lt;=P2End,"Q2",IF(A280&lt;=P3End,"Q3","Q4")))))</f>
        <v/>
      </c>
    </row>
    <row r="281">
      <c r="A281" s="17" t="n"/>
      <c r="D281" s="20" t="n"/>
      <c r="E281" s="19">
        <f>IF(A281="","",IF(OR(A281&lt;YearStart,A281&gt;YearEnd),"-",IF(A281&lt;=P1End,"Q1",IF(A281&lt;=P2End,"Q2",IF(A281&lt;=P3End,"Q3","Q4")))))</f>
        <v/>
      </c>
    </row>
    <row r="282">
      <c r="A282" s="17" t="n"/>
      <c r="D282" s="20" t="n"/>
      <c r="E282" s="19">
        <f>IF(A282="","",IF(OR(A282&lt;YearStart,A282&gt;YearEnd),"-",IF(A282&lt;=P1End,"Q1",IF(A282&lt;=P2End,"Q2",IF(A282&lt;=P3End,"Q3","Q4")))))</f>
        <v/>
      </c>
    </row>
    <row r="283">
      <c r="A283" s="17" t="n"/>
      <c r="D283" s="20" t="n"/>
      <c r="E283" s="19">
        <f>IF(A283="","",IF(OR(A283&lt;YearStart,A283&gt;YearEnd),"-",IF(A283&lt;=P1End,"Q1",IF(A283&lt;=P2End,"Q2",IF(A283&lt;=P3End,"Q3","Q4")))))</f>
        <v/>
      </c>
    </row>
    <row r="284">
      <c r="A284" s="17" t="n"/>
      <c r="D284" s="20" t="n"/>
      <c r="E284" s="19">
        <f>IF(A284="","",IF(OR(A284&lt;YearStart,A284&gt;YearEnd),"-",IF(A284&lt;=P1End,"Q1",IF(A284&lt;=P2End,"Q2",IF(A284&lt;=P3End,"Q3","Q4")))))</f>
        <v/>
      </c>
    </row>
    <row r="285">
      <c r="A285" s="17" t="n"/>
      <c r="D285" s="20" t="n"/>
      <c r="E285" s="19">
        <f>IF(A285="","",IF(OR(A285&lt;YearStart,A285&gt;YearEnd),"-",IF(A285&lt;=P1End,"Q1",IF(A285&lt;=P2End,"Q2",IF(A285&lt;=P3End,"Q3","Q4")))))</f>
        <v/>
      </c>
    </row>
    <row r="286">
      <c r="A286" s="17" t="n"/>
      <c r="D286" s="20" t="n"/>
      <c r="E286" s="19">
        <f>IF(A286="","",IF(OR(A286&lt;YearStart,A286&gt;YearEnd),"-",IF(A286&lt;=P1End,"Q1",IF(A286&lt;=P2End,"Q2",IF(A286&lt;=P3End,"Q3","Q4")))))</f>
        <v/>
      </c>
    </row>
    <row r="287">
      <c r="A287" s="17" t="n"/>
      <c r="D287" s="20" t="n"/>
      <c r="E287" s="19">
        <f>IF(A287="","",IF(OR(A287&lt;YearStart,A287&gt;YearEnd),"-",IF(A287&lt;=P1End,"Q1",IF(A287&lt;=P2End,"Q2",IF(A287&lt;=P3End,"Q3","Q4")))))</f>
        <v/>
      </c>
    </row>
    <row r="288">
      <c r="A288" s="17" t="n"/>
      <c r="D288" s="20" t="n"/>
      <c r="E288" s="19">
        <f>IF(A288="","",IF(OR(A288&lt;YearStart,A288&gt;YearEnd),"-",IF(A288&lt;=P1End,"Q1",IF(A288&lt;=P2End,"Q2",IF(A288&lt;=P3End,"Q3","Q4")))))</f>
        <v/>
      </c>
    </row>
    <row r="289">
      <c r="A289" s="17" t="n"/>
      <c r="D289" s="20" t="n"/>
      <c r="E289" s="19">
        <f>IF(A289="","",IF(OR(A289&lt;YearStart,A289&gt;YearEnd),"-",IF(A289&lt;=P1End,"Q1",IF(A289&lt;=P2End,"Q2",IF(A289&lt;=P3End,"Q3","Q4")))))</f>
        <v/>
      </c>
    </row>
    <row r="290">
      <c r="A290" s="17" t="n"/>
      <c r="D290" s="20" t="n"/>
      <c r="E290" s="19">
        <f>IF(A290="","",IF(OR(A290&lt;YearStart,A290&gt;YearEnd),"-",IF(A290&lt;=P1End,"Q1",IF(A290&lt;=P2End,"Q2",IF(A290&lt;=P3End,"Q3","Q4")))))</f>
        <v/>
      </c>
    </row>
    <row r="291">
      <c r="A291" s="17" t="n"/>
      <c r="D291" s="20" t="n"/>
      <c r="E291" s="19">
        <f>IF(A291="","",IF(OR(A291&lt;YearStart,A291&gt;YearEnd),"-",IF(A291&lt;=P1End,"Q1",IF(A291&lt;=P2End,"Q2",IF(A291&lt;=P3End,"Q3","Q4")))))</f>
        <v/>
      </c>
    </row>
    <row r="292">
      <c r="A292" s="17" t="n"/>
      <c r="D292" s="20" t="n"/>
      <c r="E292" s="19">
        <f>IF(A292="","",IF(OR(A292&lt;YearStart,A292&gt;YearEnd),"-",IF(A292&lt;=P1End,"Q1",IF(A292&lt;=P2End,"Q2",IF(A292&lt;=P3End,"Q3","Q4")))))</f>
        <v/>
      </c>
    </row>
    <row r="293">
      <c r="A293" s="17" t="n"/>
      <c r="D293" s="20" t="n"/>
      <c r="E293" s="19">
        <f>IF(A293="","",IF(OR(A293&lt;YearStart,A293&gt;YearEnd),"-",IF(A293&lt;=P1End,"Q1",IF(A293&lt;=P2End,"Q2",IF(A293&lt;=P3End,"Q3","Q4")))))</f>
        <v/>
      </c>
    </row>
    <row r="294">
      <c r="A294" s="17" t="n"/>
      <c r="D294" s="20" t="n"/>
      <c r="E294" s="19">
        <f>IF(A294="","",IF(OR(A294&lt;YearStart,A294&gt;YearEnd),"-",IF(A294&lt;=P1End,"Q1",IF(A294&lt;=P2End,"Q2",IF(A294&lt;=P3End,"Q3","Q4")))))</f>
        <v/>
      </c>
    </row>
    <row r="295">
      <c r="A295" s="17" t="n"/>
      <c r="D295" s="20" t="n"/>
      <c r="E295" s="19">
        <f>IF(A295="","",IF(OR(A295&lt;YearStart,A295&gt;YearEnd),"-",IF(A295&lt;=P1End,"Q1",IF(A295&lt;=P2End,"Q2",IF(A295&lt;=P3End,"Q3","Q4")))))</f>
        <v/>
      </c>
    </row>
    <row r="296">
      <c r="A296" s="17" t="n"/>
      <c r="D296" s="20" t="n"/>
      <c r="E296" s="19">
        <f>IF(A296="","",IF(OR(A296&lt;YearStart,A296&gt;YearEnd),"-",IF(A296&lt;=P1End,"Q1",IF(A296&lt;=P2End,"Q2",IF(A296&lt;=P3End,"Q3","Q4")))))</f>
        <v/>
      </c>
    </row>
    <row r="297">
      <c r="A297" s="17" t="n"/>
      <c r="D297" s="20" t="n"/>
      <c r="E297" s="19">
        <f>IF(A297="","",IF(OR(A297&lt;YearStart,A297&gt;YearEnd),"-",IF(A297&lt;=P1End,"Q1",IF(A297&lt;=P2End,"Q2",IF(A297&lt;=P3End,"Q3","Q4")))))</f>
        <v/>
      </c>
    </row>
    <row r="298">
      <c r="A298" s="17" t="n"/>
      <c r="D298" s="20" t="n"/>
      <c r="E298" s="19">
        <f>IF(A298="","",IF(OR(A298&lt;YearStart,A298&gt;YearEnd),"-",IF(A298&lt;=P1End,"Q1",IF(A298&lt;=P2End,"Q2",IF(A298&lt;=P3End,"Q3","Q4")))))</f>
        <v/>
      </c>
    </row>
    <row r="299">
      <c r="A299" s="17" t="n"/>
      <c r="D299" s="20" t="n"/>
      <c r="E299" s="19">
        <f>IF(A299="","",IF(OR(A299&lt;YearStart,A299&gt;YearEnd),"-",IF(A299&lt;=P1End,"Q1",IF(A299&lt;=P2End,"Q2",IF(A299&lt;=P3End,"Q3","Q4")))))</f>
        <v/>
      </c>
    </row>
    <row r="300">
      <c r="A300" s="17" t="n"/>
      <c r="D300" s="20" t="n"/>
      <c r="E300" s="19">
        <f>IF(A300="","",IF(OR(A300&lt;YearStart,A300&gt;YearEnd),"-",IF(A300&lt;=P1End,"Q1",IF(A300&lt;=P2End,"Q2",IF(A300&lt;=P3End,"Q3","Q4")))))</f>
        <v/>
      </c>
    </row>
    <row r="301">
      <c r="A301" s="17" t="n"/>
      <c r="D301" s="20" t="n"/>
      <c r="E301" s="19">
        <f>IF(A301="","",IF(OR(A301&lt;YearStart,A301&gt;YearEnd),"-",IF(A301&lt;=P1End,"Q1",IF(A301&lt;=P2End,"Q2",IF(A301&lt;=P3End,"Q3","Q4")))))</f>
        <v/>
      </c>
    </row>
    <row r="302">
      <c r="A302" s="17" t="n"/>
      <c r="D302" s="20" t="n"/>
      <c r="E302" s="19">
        <f>IF(A302="","",IF(OR(A302&lt;YearStart,A302&gt;YearEnd),"-",IF(A302&lt;=P1End,"Q1",IF(A302&lt;=P2End,"Q2",IF(A302&lt;=P3End,"Q3","Q4")))))</f>
        <v/>
      </c>
    </row>
    <row r="303">
      <c r="A303" s="17" t="n"/>
      <c r="D303" s="20" t="n"/>
      <c r="E303" s="19">
        <f>IF(A303="","",IF(OR(A303&lt;YearStart,A303&gt;YearEnd),"-",IF(A303&lt;=P1End,"Q1",IF(A303&lt;=P2End,"Q2",IF(A303&lt;=P3End,"Q3","Q4")))))</f>
        <v/>
      </c>
    </row>
    <row r="304">
      <c r="A304" s="17" t="n"/>
      <c r="D304" s="20" t="n"/>
      <c r="E304" s="19">
        <f>IF(A304="","",IF(OR(A304&lt;YearStart,A304&gt;YearEnd),"-",IF(A304&lt;=P1End,"Q1",IF(A304&lt;=P2End,"Q2",IF(A304&lt;=P3End,"Q3","Q4")))))</f>
        <v/>
      </c>
    </row>
    <row r="305">
      <c r="A305" s="17" t="n"/>
      <c r="D305" s="20" t="n"/>
      <c r="E305" s="19">
        <f>IF(A305="","",IF(OR(A305&lt;YearStart,A305&gt;YearEnd),"-",IF(A305&lt;=P1End,"Q1",IF(A305&lt;=P2End,"Q2",IF(A305&lt;=P3End,"Q3","Q4")))))</f>
        <v/>
      </c>
    </row>
    <row r="306">
      <c r="A306" s="17" t="n"/>
      <c r="D306" s="20" t="n"/>
      <c r="E306" s="19">
        <f>IF(A306="","",IF(OR(A306&lt;YearStart,A306&gt;YearEnd),"-",IF(A306&lt;=P1End,"Q1",IF(A306&lt;=P2End,"Q2",IF(A306&lt;=P3End,"Q3","Q4")))))</f>
        <v/>
      </c>
    </row>
    <row r="307">
      <c r="A307" s="17" t="n"/>
      <c r="D307" s="20" t="n"/>
      <c r="E307" s="19">
        <f>IF(A307="","",IF(OR(A307&lt;YearStart,A307&gt;YearEnd),"-",IF(A307&lt;=P1End,"Q1",IF(A307&lt;=P2End,"Q2",IF(A307&lt;=P3End,"Q3","Q4")))))</f>
        <v/>
      </c>
    </row>
    <row r="308">
      <c r="A308" s="17" t="n"/>
      <c r="D308" s="20" t="n"/>
      <c r="E308" s="19">
        <f>IF(A308="","",IF(OR(A308&lt;YearStart,A308&gt;YearEnd),"-",IF(A308&lt;=P1End,"Q1",IF(A308&lt;=P2End,"Q2",IF(A308&lt;=P3End,"Q3","Q4")))))</f>
        <v/>
      </c>
    </row>
    <row r="309">
      <c r="A309" s="17" t="n"/>
      <c r="D309" s="20" t="n"/>
      <c r="E309" s="19">
        <f>IF(A309="","",IF(OR(A309&lt;YearStart,A309&gt;YearEnd),"-",IF(A309&lt;=P1End,"Q1",IF(A309&lt;=P2End,"Q2",IF(A309&lt;=P3End,"Q3","Q4")))))</f>
        <v/>
      </c>
    </row>
    <row r="310">
      <c r="A310" s="17" t="n"/>
      <c r="D310" s="20" t="n"/>
      <c r="E310" s="19">
        <f>IF(A310="","",IF(OR(A310&lt;YearStart,A310&gt;YearEnd),"-",IF(A310&lt;=P1End,"Q1",IF(A310&lt;=P2End,"Q2",IF(A310&lt;=P3End,"Q3","Q4")))))</f>
        <v/>
      </c>
    </row>
    <row r="311">
      <c r="A311" s="17" t="n"/>
      <c r="D311" s="20" t="n"/>
      <c r="E311" s="19">
        <f>IF(A311="","",IF(OR(A311&lt;YearStart,A311&gt;YearEnd),"-",IF(A311&lt;=P1End,"Q1",IF(A311&lt;=P2End,"Q2",IF(A311&lt;=P3End,"Q3","Q4")))))</f>
        <v/>
      </c>
    </row>
    <row r="312">
      <c r="A312" s="17" t="n"/>
      <c r="D312" s="20" t="n"/>
      <c r="E312" s="19">
        <f>IF(A312="","",IF(OR(A312&lt;YearStart,A312&gt;YearEnd),"-",IF(A312&lt;=P1End,"Q1",IF(A312&lt;=P2End,"Q2",IF(A312&lt;=P3End,"Q3","Q4")))))</f>
        <v/>
      </c>
    </row>
    <row r="313">
      <c r="A313" s="17" t="n"/>
      <c r="D313" s="20" t="n"/>
      <c r="E313" s="19">
        <f>IF(A313="","",IF(OR(A313&lt;YearStart,A313&gt;YearEnd),"-",IF(A313&lt;=P1End,"Q1",IF(A313&lt;=P2End,"Q2",IF(A313&lt;=P3End,"Q3","Q4")))))</f>
        <v/>
      </c>
    </row>
    <row r="314">
      <c r="A314" s="17" t="n"/>
      <c r="D314" s="20" t="n"/>
      <c r="E314" s="19">
        <f>IF(A314="","",IF(OR(A314&lt;YearStart,A314&gt;YearEnd),"-",IF(A314&lt;=P1End,"Q1",IF(A314&lt;=P2End,"Q2",IF(A314&lt;=P3End,"Q3","Q4")))))</f>
        <v/>
      </c>
    </row>
    <row r="315">
      <c r="A315" s="17" t="n"/>
      <c r="D315" s="20" t="n"/>
      <c r="E315" s="19">
        <f>IF(A315="","",IF(OR(A315&lt;YearStart,A315&gt;YearEnd),"-",IF(A315&lt;=P1End,"Q1",IF(A315&lt;=P2End,"Q2",IF(A315&lt;=P3End,"Q3","Q4")))))</f>
        <v/>
      </c>
    </row>
    <row r="316">
      <c r="A316" s="17" t="n"/>
      <c r="D316" s="20" t="n"/>
      <c r="E316" s="19">
        <f>IF(A316="","",IF(OR(A316&lt;YearStart,A316&gt;YearEnd),"-",IF(A316&lt;=P1End,"Q1",IF(A316&lt;=P2End,"Q2",IF(A316&lt;=P3End,"Q3","Q4")))))</f>
        <v/>
      </c>
    </row>
    <row r="317">
      <c r="A317" s="17" t="n"/>
      <c r="D317" s="20" t="n"/>
      <c r="E317" s="19">
        <f>IF(A317="","",IF(OR(A317&lt;YearStart,A317&gt;YearEnd),"-",IF(A317&lt;=P1End,"Q1",IF(A317&lt;=P2End,"Q2",IF(A317&lt;=P3End,"Q3","Q4")))))</f>
        <v/>
      </c>
    </row>
    <row r="318">
      <c r="A318" s="17" t="n"/>
      <c r="D318" s="20" t="n"/>
      <c r="E318" s="19">
        <f>IF(A318="","",IF(OR(A318&lt;YearStart,A318&gt;YearEnd),"-",IF(A318&lt;=P1End,"Q1",IF(A318&lt;=P2End,"Q2",IF(A318&lt;=P3End,"Q3","Q4")))))</f>
        <v/>
      </c>
    </row>
    <row r="319">
      <c r="A319" s="17" t="n"/>
      <c r="D319" s="20" t="n"/>
      <c r="E319" s="19">
        <f>IF(A319="","",IF(OR(A319&lt;YearStart,A319&gt;YearEnd),"-",IF(A319&lt;=P1End,"Q1",IF(A319&lt;=P2End,"Q2",IF(A319&lt;=P3End,"Q3","Q4")))))</f>
        <v/>
      </c>
    </row>
    <row r="320">
      <c r="A320" s="17" t="n"/>
      <c r="D320" s="20" t="n"/>
      <c r="E320" s="19">
        <f>IF(A320="","",IF(OR(A320&lt;YearStart,A320&gt;YearEnd),"-",IF(A320&lt;=P1End,"Q1",IF(A320&lt;=P2End,"Q2",IF(A320&lt;=P3End,"Q3","Q4")))))</f>
        <v/>
      </c>
    </row>
    <row r="321">
      <c r="A321" s="17" t="n"/>
      <c r="D321" s="20" t="n"/>
      <c r="E321" s="19">
        <f>IF(A321="","",IF(OR(A321&lt;YearStart,A321&gt;YearEnd),"-",IF(A321&lt;=P1End,"Q1",IF(A321&lt;=P2End,"Q2",IF(A321&lt;=P3End,"Q3","Q4")))))</f>
        <v/>
      </c>
    </row>
    <row r="322">
      <c r="A322" s="17" t="n"/>
      <c r="D322" s="20" t="n"/>
      <c r="E322" s="19">
        <f>IF(A322="","",IF(OR(A322&lt;YearStart,A322&gt;YearEnd),"-",IF(A322&lt;=P1End,"Q1",IF(A322&lt;=P2End,"Q2",IF(A322&lt;=P3End,"Q3","Q4")))))</f>
        <v/>
      </c>
    </row>
    <row r="323">
      <c r="A323" s="17" t="n"/>
      <c r="D323" s="20" t="n"/>
      <c r="E323" s="19">
        <f>IF(A323="","",IF(OR(A323&lt;YearStart,A323&gt;YearEnd),"-",IF(A323&lt;=P1End,"Q1",IF(A323&lt;=P2End,"Q2",IF(A323&lt;=P3End,"Q3","Q4")))))</f>
        <v/>
      </c>
    </row>
    <row r="324">
      <c r="A324" s="17" t="n"/>
      <c r="D324" s="20" t="n"/>
      <c r="E324" s="19">
        <f>IF(A324="","",IF(OR(A324&lt;YearStart,A324&gt;YearEnd),"-",IF(A324&lt;=P1End,"Q1",IF(A324&lt;=P2End,"Q2",IF(A324&lt;=P3End,"Q3","Q4")))))</f>
        <v/>
      </c>
    </row>
    <row r="325">
      <c r="A325" s="17" t="n"/>
      <c r="D325" s="20" t="n"/>
      <c r="E325" s="19">
        <f>IF(A325="","",IF(OR(A325&lt;YearStart,A325&gt;YearEnd),"-",IF(A325&lt;=P1End,"Q1",IF(A325&lt;=P2End,"Q2",IF(A325&lt;=P3End,"Q3","Q4")))))</f>
        <v/>
      </c>
    </row>
    <row r="326">
      <c r="A326" s="17" t="n"/>
      <c r="D326" s="20" t="n"/>
      <c r="E326" s="19">
        <f>IF(A326="","",IF(OR(A326&lt;YearStart,A326&gt;YearEnd),"-",IF(A326&lt;=P1End,"Q1",IF(A326&lt;=P2End,"Q2",IF(A326&lt;=P3End,"Q3","Q4")))))</f>
        <v/>
      </c>
    </row>
    <row r="327">
      <c r="A327" s="17" t="n"/>
      <c r="D327" s="20" t="n"/>
      <c r="E327" s="19">
        <f>IF(A327="","",IF(OR(A327&lt;YearStart,A327&gt;YearEnd),"-",IF(A327&lt;=P1End,"Q1",IF(A327&lt;=P2End,"Q2",IF(A327&lt;=P3End,"Q3","Q4")))))</f>
        <v/>
      </c>
    </row>
    <row r="328">
      <c r="A328" s="17" t="n"/>
      <c r="D328" s="20" t="n"/>
      <c r="E328" s="19">
        <f>IF(A328="","",IF(OR(A328&lt;YearStart,A328&gt;YearEnd),"-",IF(A328&lt;=P1End,"Q1",IF(A328&lt;=P2End,"Q2",IF(A328&lt;=P3End,"Q3","Q4")))))</f>
        <v/>
      </c>
    </row>
    <row r="329">
      <c r="A329" s="17" t="n"/>
      <c r="D329" s="20" t="n"/>
      <c r="E329" s="19">
        <f>IF(A329="","",IF(OR(A329&lt;YearStart,A329&gt;YearEnd),"-",IF(A329&lt;=P1End,"Q1",IF(A329&lt;=P2End,"Q2",IF(A329&lt;=P3End,"Q3","Q4")))))</f>
        <v/>
      </c>
    </row>
    <row r="330">
      <c r="A330" s="17" t="n"/>
      <c r="D330" s="20" t="n"/>
      <c r="E330" s="19">
        <f>IF(A330="","",IF(OR(A330&lt;YearStart,A330&gt;YearEnd),"-",IF(A330&lt;=P1End,"Q1",IF(A330&lt;=P2End,"Q2",IF(A330&lt;=P3End,"Q3","Q4")))))</f>
        <v/>
      </c>
    </row>
    <row r="331">
      <c r="A331" s="17" t="n"/>
      <c r="D331" s="20" t="n"/>
      <c r="E331" s="19">
        <f>IF(A331="","",IF(OR(A331&lt;YearStart,A331&gt;YearEnd),"-",IF(A331&lt;=P1End,"Q1",IF(A331&lt;=P2End,"Q2",IF(A331&lt;=P3End,"Q3","Q4")))))</f>
        <v/>
      </c>
    </row>
    <row r="332">
      <c r="A332" s="17" t="n"/>
      <c r="D332" s="20" t="n"/>
      <c r="E332" s="19">
        <f>IF(A332="","",IF(OR(A332&lt;YearStart,A332&gt;YearEnd),"-",IF(A332&lt;=P1End,"Q1",IF(A332&lt;=P2End,"Q2",IF(A332&lt;=P3End,"Q3","Q4")))))</f>
        <v/>
      </c>
    </row>
    <row r="333">
      <c r="A333" s="17" t="n"/>
      <c r="D333" s="20" t="n"/>
      <c r="E333" s="19">
        <f>IF(A333="","",IF(OR(A333&lt;YearStart,A333&gt;YearEnd),"-",IF(A333&lt;=P1End,"Q1",IF(A333&lt;=P2End,"Q2",IF(A333&lt;=P3End,"Q3","Q4")))))</f>
        <v/>
      </c>
    </row>
    <row r="334">
      <c r="A334" s="17" t="n"/>
      <c r="D334" s="20" t="n"/>
      <c r="E334" s="19">
        <f>IF(A334="","",IF(OR(A334&lt;YearStart,A334&gt;YearEnd),"-",IF(A334&lt;=P1End,"Q1",IF(A334&lt;=P2End,"Q2",IF(A334&lt;=P3End,"Q3","Q4")))))</f>
        <v/>
      </c>
    </row>
    <row r="335">
      <c r="A335" s="17" t="n"/>
      <c r="D335" s="20" t="n"/>
      <c r="E335" s="19">
        <f>IF(A335="","",IF(OR(A335&lt;YearStart,A335&gt;YearEnd),"-",IF(A335&lt;=P1End,"Q1",IF(A335&lt;=P2End,"Q2",IF(A335&lt;=P3End,"Q3","Q4")))))</f>
        <v/>
      </c>
    </row>
    <row r="336">
      <c r="A336" s="17" t="n"/>
      <c r="D336" s="20" t="n"/>
      <c r="E336" s="19">
        <f>IF(A336="","",IF(OR(A336&lt;YearStart,A336&gt;YearEnd),"-",IF(A336&lt;=P1End,"Q1",IF(A336&lt;=P2End,"Q2",IF(A336&lt;=P3End,"Q3","Q4")))))</f>
        <v/>
      </c>
    </row>
    <row r="337">
      <c r="A337" s="17" t="n"/>
      <c r="D337" s="20" t="n"/>
      <c r="E337" s="19">
        <f>IF(A337="","",IF(OR(A337&lt;YearStart,A337&gt;YearEnd),"-",IF(A337&lt;=P1End,"Q1",IF(A337&lt;=P2End,"Q2",IF(A337&lt;=P3End,"Q3","Q4")))))</f>
        <v/>
      </c>
    </row>
    <row r="338">
      <c r="A338" s="17" t="n"/>
      <c r="D338" s="20" t="n"/>
      <c r="E338" s="19">
        <f>IF(A338="","",IF(OR(A338&lt;YearStart,A338&gt;YearEnd),"-",IF(A338&lt;=P1End,"Q1",IF(A338&lt;=P2End,"Q2",IF(A338&lt;=P3End,"Q3","Q4")))))</f>
        <v/>
      </c>
    </row>
    <row r="339">
      <c r="A339" s="17" t="n"/>
      <c r="D339" s="20" t="n"/>
      <c r="E339" s="19">
        <f>IF(A339="","",IF(OR(A339&lt;YearStart,A339&gt;YearEnd),"-",IF(A339&lt;=P1End,"Q1",IF(A339&lt;=P2End,"Q2",IF(A339&lt;=P3End,"Q3","Q4")))))</f>
        <v/>
      </c>
    </row>
    <row r="340">
      <c r="A340" s="17" t="n"/>
      <c r="D340" s="20" t="n"/>
      <c r="E340" s="19">
        <f>IF(A340="","",IF(OR(A340&lt;YearStart,A340&gt;YearEnd),"-",IF(A340&lt;=P1End,"Q1",IF(A340&lt;=P2End,"Q2",IF(A340&lt;=P3End,"Q3","Q4")))))</f>
        <v/>
      </c>
    </row>
    <row r="341">
      <c r="A341" s="17" t="n"/>
      <c r="D341" s="20" t="n"/>
      <c r="E341" s="19">
        <f>IF(A341="","",IF(OR(A341&lt;YearStart,A341&gt;YearEnd),"-",IF(A341&lt;=P1End,"Q1",IF(A341&lt;=P2End,"Q2",IF(A341&lt;=P3End,"Q3","Q4")))))</f>
        <v/>
      </c>
    </row>
    <row r="342">
      <c r="A342" s="17" t="n"/>
      <c r="D342" s="20" t="n"/>
      <c r="E342" s="19">
        <f>IF(A342="","",IF(OR(A342&lt;YearStart,A342&gt;YearEnd),"-",IF(A342&lt;=P1End,"Q1",IF(A342&lt;=P2End,"Q2",IF(A342&lt;=P3End,"Q3","Q4")))))</f>
        <v/>
      </c>
    </row>
    <row r="343">
      <c r="A343" s="17" t="n"/>
      <c r="D343" s="20" t="n"/>
      <c r="E343" s="19">
        <f>IF(A343="","",IF(OR(A343&lt;YearStart,A343&gt;YearEnd),"-",IF(A343&lt;=P1End,"Q1",IF(A343&lt;=P2End,"Q2",IF(A343&lt;=P3End,"Q3","Q4")))))</f>
        <v/>
      </c>
    </row>
    <row r="344">
      <c r="A344" s="17" t="n"/>
      <c r="D344" s="20" t="n"/>
      <c r="E344" s="19">
        <f>IF(A344="","",IF(OR(A344&lt;YearStart,A344&gt;YearEnd),"-",IF(A344&lt;=P1End,"Q1",IF(A344&lt;=P2End,"Q2",IF(A344&lt;=P3End,"Q3","Q4")))))</f>
        <v/>
      </c>
    </row>
    <row r="345">
      <c r="A345" s="17" t="n"/>
      <c r="D345" s="20" t="n"/>
      <c r="E345" s="19">
        <f>IF(A345="","",IF(OR(A345&lt;YearStart,A345&gt;YearEnd),"-",IF(A345&lt;=P1End,"Q1",IF(A345&lt;=P2End,"Q2",IF(A345&lt;=P3End,"Q3","Q4")))))</f>
        <v/>
      </c>
    </row>
    <row r="346">
      <c r="A346" s="17" t="n"/>
      <c r="D346" s="20" t="n"/>
      <c r="E346" s="19">
        <f>IF(A346="","",IF(OR(A346&lt;YearStart,A346&gt;YearEnd),"-",IF(A346&lt;=P1End,"Q1",IF(A346&lt;=P2End,"Q2",IF(A346&lt;=P3End,"Q3","Q4")))))</f>
        <v/>
      </c>
    </row>
    <row r="347">
      <c r="A347" s="17" t="n"/>
      <c r="D347" s="20" t="n"/>
      <c r="E347" s="19">
        <f>IF(A347="","",IF(OR(A347&lt;YearStart,A347&gt;YearEnd),"-",IF(A347&lt;=P1End,"Q1",IF(A347&lt;=P2End,"Q2",IF(A347&lt;=P3End,"Q3","Q4")))))</f>
        <v/>
      </c>
    </row>
    <row r="348">
      <c r="A348" s="17" t="n"/>
      <c r="D348" s="20" t="n"/>
      <c r="E348" s="19">
        <f>IF(A348="","",IF(OR(A348&lt;YearStart,A348&gt;YearEnd),"-",IF(A348&lt;=P1End,"Q1",IF(A348&lt;=P2End,"Q2",IF(A348&lt;=P3End,"Q3","Q4")))))</f>
        <v/>
      </c>
    </row>
    <row r="349">
      <c r="A349" s="17" t="n"/>
      <c r="D349" s="20" t="n"/>
      <c r="E349" s="19">
        <f>IF(A349="","",IF(OR(A349&lt;YearStart,A349&gt;YearEnd),"-",IF(A349&lt;=P1End,"Q1",IF(A349&lt;=P2End,"Q2",IF(A349&lt;=P3End,"Q3","Q4")))))</f>
        <v/>
      </c>
    </row>
    <row r="350">
      <c r="A350" s="17" t="n"/>
      <c r="D350" s="20" t="n"/>
      <c r="E350" s="19">
        <f>IF(A350="","",IF(OR(A350&lt;YearStart,A350&gt;YearEnd),"-",IF(A350&lt;=P1End,"Q1",IF(A350&lt;=P2End,"Q2",IF(A350&lt;=P3End,"Q3","Q4")))))</f>
        <v/>
      </c>
    </row>
    <row r="351">
      <c r="A351" s="17" t="n"/>
      <c r="D351" s="20" t="n"/>
      <c r="E351" s="19">
        <f>IF(A351="","",IF(OR(A351&lt;YearStart,A351&gt;YearEnd),"-",IF(A351&lt;=P1End,"Q1",IF(A351&lt;=P2End,"Q2",IF(A351&lt;=P3End,"Q3","Q4")))))</f>
        <v/>
      </c>
    </row>
    <row r="352">
      <c r="A352" s="17" t="n"/>
      <c r="D352" s="20" t="n"/>
      <c r="E352" s="19">
        <f>IF(A352="","",IF(OR(A352&lt;YearStart,A352&gt;YearEnd),"-",IF(A352&lt;=P1End,"Q1",IF(A352&lt;=P2End,"Q2",IF(A352&lt;=P3End,"Q3","Q4")))))</f>
        <v/>
      </c>
    </row>
    <row r="353">
      <c r="A353" s="17" t="n"/>
      <c r="D353" s="20" t="n"/>
      <c r="E353" s="19">
        <f>IF(A353="","",IF(OR(A353&lt;YearStart,A353&gt;YearEnd),"-",IF(A353&lt;=P1End,"Q1",IF(A353&lt;=P2End,"Q2",IF(A353&lt;=P3End,"Q3","Q4")))))</f>
        <v/>
      </c>
    </row>
    <row r="354">
      <c r="A354" s="17" t="n"/>
      <c r="D354" s="20" t="n"/>
      <c r="E354" s="19">
        <f>IF(A354="","",IF(OR(A354&lt;YearStart,A354&gt;YearEnd),"-",IF(A354&lt;=P1End,"Q1",IF(A354&lt;=P2End,"Q2",IF(A354&lt;=P3End,"Q3","Q4")))))</f>
        <v/>
      </c>
    </row>
    <row r="355">
      <c r="A355" s="17" t="n"/>
      <c r="D355" s="20" t="n"/>
      <c r="E355" s="19">
        <f>IF(A355="","",IF(OR(A355&lt;YearStart,A355&gt;YearEnd),"-",IF(A355&lt;=P1End,"Q1",IF(A355&lt;=P2End,"Q2",IF(A355&lt;=P3End,"Q3","Q4")))))</f>
        <v/>
      </c>
    </row>
    <row r="356">
      <c r="A356" s="17" t="n"/>
      <c r="D356" s="20" t="n"/>
      <c r="E356" s="19">
        <f>IF(A356="","",IF(OR(A356&lt;YearStart,A356&gt;YearEnd),"-",IF(A356&lt;=P1End,"Q1",IF(A356&lt;=P2End,"Q2",IF(A356&lt;=P3End,"Q3","Q4")))))</f>
        <v/>
      </c>
    </row>
    <row r="357">
      <c r="A357" s="17" t="n"/>
      <c r="D357" s="20" t="n"/>
      <c r="E357" s="19">
        <f>IF(A357="","",IF(OR(A357&lt;YearStart,A357&gt;YearEnd),"-",IF(A357&lt;=P1End,"Q1",IF(A357&lt;=P2End,"Q2",IF(A357&lt;=P3End,"Q3","Q4")))))</f>
        <v/>
      </c>
    </row>
    <row r="358">
      <c r="A358" s="17" t="n"/>
      <c r="D358" s="20" t="n"/>
      <c r="E358" s="19">
        <f>IF(A358="","",IF(OR(A358&lt;YearStart,A358&gt;YearEnd),"-",IF(A358&lt;=P1End,"Q1",IF(A358&lt;=P2End,"Q2",IF(A358&lt;=P3End,"Q3","Q4")))))</f>
        <v/>
      </c>
    </row>
    <row r="359">
      <c r="A359" s="17" t="n"/>
      <c r="D359" s="20" t="n"/>
      <c r="E359" s="19">
        <f>IF(A359="","",IF(OR(A359&lt;YearStart,A359&gt;YearEnd),"-",IF(A359&lt;=P1End,"Q1",IF(A359&lt;=P2End,"Q2",IF(A359&lt;=P3End,"Q3","Q4")))))</f>
        <v/>
      </c>
    </row>
    <row r="360">
      <c r="A360" s="17" t="n"/>
      <c r="D360" s="20" t="n"/>
      <c r="E360" s="19">
        <f>IF(A360="","",IF(OR(A360&lt;YearStart,A360&gt;YearEnd),"-",IF(A360&lt;=P1End,"Q1",IF(A360&lt;=P2End,"Q2",IF(A360&lt;=P3End,"Q3","Q4")))))</f>
        <v/>
      </c>
    </row>
    <row r="361">
      <c r="A361" s="17" t="n"/>
      <c r="D361" s="20" t="n"/>
      <c r="E361" s="19">
        <f>IF(A361="","",IF(OR(A361&lt;YearStart,A361&gt;YearEnd),"-",IF(A361&lt;=P1End,"Q1",IF(A361&lt;=P2End,"Q2",IF(A361&lt;=P3End,"Q3","Q4")))))</f>
        <v/>
      </c>
    </row>
    <row r="362">
      <c r="A362" s="17" t="n"/>
      <c r="D362" s="20" t="n"/>
      <c r="E362" s="19">
        <f>IF(A362="","",IF(OR(A362&lt;YearStart,A362&gt;YearEnd),"-",IF(A362&lt;=P1End,"Q1",IF(A362&lt;=P2End,"Q2",IF(A362&lt;=P3End,"Q3","Q4")))))</f>
        <v/>
      </c>
    </row>
    <row r="363">
      <c r="A363" s="17" t="n"/>
      <c r="D363" s="20" t="n"/>
      <c r="E363" s="19">
        <f>IF(A363="","",IF(OR(A363&lt;YearStart,A363&gt;YearEnd),"-",IF(A363&lt;=P1End,"Q1",IF(A363&lt;=P2End,"Q2",IF(A363&lt;=P3End,"Q3","Q4")))))</f>
        <v/>
      </c>
    </row>
    <row r="364">
      <c r="A364" s="17" t="n"/>
      <c r="D364" s="20" t="n"/>
      <c r="E364" s="19">
        <f>IF(A364="","",IF(OR(A364&lt;YearStart,A364&gt;YearEnd),"-",IF(A364&lt;=P1End,"Q1",IF(A364&lt;=P2End,"Q2",IF(A364&lt;=P3End,"Q3","Q4")))))</f>
        <v/>
      </c>
    </row>
    <row r="365">
      <c r="A365" s="17" t="n"/>
      <c r="D365" s="20" t="n"/>
      <c r="E365" s="19">
        <f>IF(A365="","",IF(OR(A365&lt;YearStart,A365&gt;YearEnd),"-",IF(A365&lt;=P1End,"Q1",IF(A365&lt;=P2End,"Q2",IF(A365&lt;=P3End,"Q3","Q4")))))</f>
        <v/>
      </c>
    </row>
    <row r="366">
      <c r="A366" s="17" t="n"/>
      <c r="D366" s="20" t="n"/>
      <c r="E366" s="19">
        <f>IF(A366="","",IF(OR(A366&lt;YearStart,A366&gt;YearEnd),"-",IF(A366&lt;=P1End,"Q1",IF(A366&lt;=P2End,"Q2",IF(A366&lt;=P3End,"Q3","Q4")))))</f>
        <v/>
      </c>
    </row>
    <row r="367">
      <c r="A367" s="17" t="n"/>
      <c r="D367" s="20" t="n"/>
      <c r="E367" s="19">
        <f>IF(A367="","",IF(OR(A367&lt;YearStart,A367&gt;YearEnd),"-",IF(A367&lt;=P1End,"Q1",IF(A367&lt;=P2End,"Q2",IF(A367&lt;=P3End,"Q3","Q4")))))</f>
        <v/>
      </c>
    </row>
    <row r="368">
      <c r="A368" s="17" t="n"/>
      <c r="D368" s="20" t="n"/>
      <c r="E368" s="19">
        <f>IF(A368="","",IF(OR(A368&lt;YearStart,A368&gt;YearEnd),"-",IF(A368&lt;=P1End,"Q1",IF(A368&lt;=P2End,"Q2",IF(A368&lt;=P3End,"Q3","Q4")))))</f>
        <v/>
      </c>
    </row>
    <row r="369">
      <c r="A369" s="17" t="n"/>
      <c r="D369" s="20" t="n"/>
      <c r="E369" s="19">
        <f>IF(A369="","",IF(OR(A369&lt;YearStart,A369&gt;YearEnd),"-",IF(A369&lt;=P1End,"Q1",IF(A369&lt;=P2End,"Q2",IF(A369&lt;=P3End,"Q3","Q4")))))</f>
        <v/>
      </c>
    </row>
    <row r="370">
      <c r="A370" s="17" t="n"/>
      <c r="D370" s="20" t="n"/>
      <c r="E370" s="19">
        <f>IF(A370="","",IF(OR(A370&lt;YearStart,A370&gt;YearEnd),"-",IF(A370&lt;=P1End,"Q1",IF(A370&lt;=P2End,"Q2",IF(A370&lt;=P3End,"Q3","Q4")))))</f>
        <v/>
      </c>
    </row>
    <row r="371">
      <c r="A371" s="17" t="n"/>
      <c r="D371" s="20" t="n"/>
      <c r="E371" s="19">
        <f>IF(A371="","",IF(OR(A371&lt;YearStart,A371&gt;YearEnd),"-",IF(A371&lt;=P1End,"Q1",IF(A371&lt;=P2End,"Q2",IF(A371&lt;=P3End,"Q3","Q4")))))</f>
        <v/>
      </c>
    </row>
    <row r="372">
      <c r="A372" s="17" t="n"/>
      <c r="D372" s="20" t="n"/>
      <c r="E372" s="19">
        <f>IF(A372="","",IF(OR(A372&lt;YearStart,A372&gt;YearEnd),"-",IF(A372&lt;=P1End,"Q1",IF(A372&lt;=P2End,"Q2",IF(A372&lt;=P3End,"Q3","Q4")))))</f>
        <v/>
      </c>
    </row>
    <row r="373">
      <c r="A373" s="17" t="n"/>
      <c r="D373" s="20" t="n"/>
      <c r="E373" s="19">
        <f>IF(A373="","",IF(OR(A373&lt;YearStart,A373&gt;YearEnd),"-",IF(A373&lt;=P1End,"Q1",IF(A373&lt;=P2End,"Q2",IF(A373&lt;=P3End,"Q3","Q4")))))</f>
        <v/>
      </c>
    </row>
    <row r="374">
      <c r="A374" s="17" t="n"/>
      <c r="D374" s="20" t="n"/>
      <c r="E374" s="19">
        <f>IF(A374="","",IF(OR(A374&lt;YearStart,A374&gt;YearEnd),"-",IF(A374&lt;=P1End,"Q1",IF(A374&lt;=P2End,"Q2",IF(A374&lt;=P3End,"Q3","Q4")))))</f>
        <v/>
      </c>
    </row>
    <row r="375">
      <c r="A375" s="17" t="n"/>
      <c r="D375" s="20" t="n"/>
      <c r="E375" s="19">
        <f>IF(A375="","",IF(OR(A375&lt;YearStart,A375&gt;YearEnd),"-",IF(A375&lt;=P1End,"Q1",IF(A375&lt;=P2End,"Q2",IF(A375&lt;=P3End,"Q3","Q4")))))</f>
        <v/>
      </c>
    </row>
    <row r="376">
      <c r="A376" s="17" t="n"/>
      <c r="D376" s="20" t="n"/>
      <c r="E376" s="19">
        <f>IF(A376="","",IF(OR(A376&lt;YearStart,A376&gt;YearEnd),"-",IF(A376&lt;=P1End,"Q1",IF(A376&lt;=P2End,"Q2",IF(A376&lt;=P3End,"Q3","Q4")))))</f>
        <v/>
      </c>
    </row>
    <row r="377">
      <c r="A377" s="17" t="n"/>
      <c r="D377" s="20" t="n"/>
      <c r="E377" s="19">
        <f>IF(A377="","",IF(OR(A377&lt;YearStart,A377&gt;YearEnd),"-",IF(A377&lt;=P1End,"Q1",IF(A377&lt;=P2End,"Q2",IF(A377&lt;=P3End,"Q3","Q4")))))</f>
        <v/>
      </c>
    </row>
    <row r="378">
      <c r="A378" s="17" t="n"/>
      <c r="D378" s="20" t="n"/>
      <c r="E378" s="19">
        <f>IF(A378="","",IF(OR(A378&lt;YearStart,A378&gt;YearEnd),"-",IF(A378&lt;=P1End,"Q1",IF(A378&lt;=P2End,"Q2",IF(A378&lt;=P3End,"Q3","Q4")))))</f>
        <v/>
      </c>
    </row>
    <row r="379">
      <c r="A379" s="17" t="n"/>
      <c r="D379" s="20" t="n"/>
      <c r="E379" s="19">
        <f>IF(A379="","",IF(OR(A379&lt;YearStart,A379&gt;YearEnd),"-",IF(A379&lt;=P1End,"Q1",IF(A379&lt;=P2End,"Q2",IF(A379&lt;=P3End,"Q3","Q4")))))</f>
        <v/>
      </c>
    </row>
    <row r="380">
      <c r="A380" s="17" t="n"/>
      <c r="D380" s="20" t="n"/>
      <c r="E380" s="19">
        <f>IF(A380="","",IF(OR(A380&lt;YearStart,A380&gt;YearEnd),"-",IF(A380&lt;=P1End,"Q1",IF(A380&lt;=P2End,"Q2",IF(A380&lt;=P3End,"Q3","Q4")))))</f>
        <v/>
      </c>
    </row>
    <row r="381">
      <c r="A381" s="17" t="n"/>
      <c r="D381" s="20" t="n"/>
      <c r="E381" s="19">
        <f>IF(A381="","",IF(OR(A381&lt;YearStart,A381&gt;YearEnd),"-",IF(A381&lt;=P1End,"Q1",IF(A381&lt;=P2End,"Q2",IF(A381&lt;=P3End,"Q3","Q4")))))</f>
        <v/>
      </c>
    </row>
    <row r="382">
      <c r="A382" s="17" t="n"/>
      <c r="D382" s="20" t="n"/>
      <c r="E382" s="19">
        <f>IF(A382="","",IF(OR(A382&lt;YearStart,A382&gt;YearEnd),"-",IF(A382&lt;=P1End,"Q1",IF(A382&lt;=P2End,"Q2",IF(A382&lt;=P3End,"Q3","Q4")))))</f>
        <v/>
      </c>
    </row>
    <row r="383">
      <c r="A383" s="17" t="n"/>
      <c r="D383" s="20" t="n"/>
      <c r="E383" s="19">
        <f>IF(A383="","",IF(OR(A383&lt;YearStart,A383&gt;YearEnd),"-",IF(A383&lt;=P1End,"Q1",IF(A383&lt;=P2End,"Q2",IF(A383&lt;=P3End,"Q3","Q4")))))</f>
        <v/>
      </c>
    </row>
    <row r="384">
      <c r="A384" s="17" t="n"/>
      <c r="D384" s="20" t="n"/>
      <c r="E384" s="19">
        <f>IF(A384="","",IF(OR(A384&lt;YearStart,A384&gt;YearEnd),"-",IF(A384&lt;=P1End,"Q1",IF(A384&lt;=P2End,"Q2",IF(A384&lt;=P3End,"Q3","Q4")))))</f>
        <v/>
      </c>
    </row>
    <row r="385">
      <c r="A385" s="17" t="n"/>
      <c r="D385" s="20" t="n"/>
      <c r="E385" s="19">
        <f>IF(A385="","",IF(OR(A385&lt;YearStart,A385&gt;YearEnd),"-",IF(A385&lt;=P1End,"Q1",IF(A385&lt;=P2End,"Q2",IF(A385&lt;=P3End,"Q3","Q4")))))</f>
        <v/>
      </c>
    </row>
    <row r="386">
      <c r="A386" s="17" t="n"/>
      <c r="D386" s="20" t="n"/>
      <c r="E386" s="19">
        <f>IF(A386="","",IF(OR(A386&lt;YearStart,A386&gt;YearEnd),"-",IF(A386&lt;=P1End,"Q1",IF(A386&lt;=P2End,"Q2",IF(A386&lt;=P3End,"Q3","Q4")))))</f>
        <v/>
      </c>
    </row>
    <row r="387">
      <c r="A387" s="17" t="n"/>
      <c r="D387" s="20" t="n"/>
      <c r="E387" s="19">
        <f>IF(A387="","",IF(OR(A387&lt;YearStart,A387&gt;YearEnd),"-",IF(A387&lt;=P1End,"Q1",IF(A387&lt;=P2End,"Q2",IF(A387&lt;=P3End,"Q3","Q4")))))</f>
        <v/>
      </c>
    </row>
    <row r="388">
      <c r="A388" s="17" t="n"/>
      <c r="D388" s="20" t="n"/>
      <c r="E388" s="19">
        <f>IF(A388="","",IF(OR(A388&lt;YearStart,A388&gt;YearEnd),"-",IF(A388&lt;=P1End,"Q1",IF(A388&lt;=P2End,"Q2",IF(A388&lt;=P3End,"Q3","Q4")))))</f>
        <v/>
      </c>
    </row>
    <row r="389">
      <c r="A389" s="17" t="n"/>
      <c r="D389" s="20" t="n"/>
      <c r="E389" s="19">
        <f>IF(A389="","",IF(OR(A389&lt;YearStart,A389&gt;YearEnd),"-",IF(A389&lt;=P1End,"Q1",IF(A389&lt;=P2End,"Q2",IF(A389&lt;=P3End,"Q3","Q4")))))</f>
        <v/>
      </c>
    </row>
    <row r="390">
      <c r="A390" s="17" t="n"/>
      <c r="D390" s="20" t="n"/>
      <c r="E390" s="19">
        <f>IF(A390="","",IF(OR(A390&lt;YearStart,A390&gt;YearEnd),"-",IF(A390&lt;=P1End,"Q1",IF(A390&lt;=P2End,"Q2",IF(A390&lt;=P3End,"Q3","Q4")))))</f>
        <v/>
      </c>
    </row>
    <row r="391">
      <c r="A391" s="17" t="n"/>
      <c r="D391" s="20" t="n"/>
      <c r="E391" s="19">
        <f>IF(A391="","",IF(OR(A391&lt;YearStart,A391&gt;YearEnd),"-",IF(A391&lt;=P1End,"Q1",IF(A391&lt;=P2End,"Q2",IF(A391&lt;=P3End,"Q3","Q4")))))</f>
        <v/>
      </c>
    </row>
    <row r="392">
      <c r="A392" s="17" t="n"/>
      <c r="D392" s="20" t="n"/>
      <c r="E392" s="19">
        <f>IF(A392="","",IF(OR(A392&lt;YearStart,A392&gt;YearEnd),"-",IF(A392&lt;=P1End,"Q1",IF(A392&lt;=P2End,"Q2",IF(A392&lt;=P3End,"Q3","Q4")))))</f>
        <v/>
      </c>
    </row>
    <row r="393">
      <c r="A393" s="17" t="n"/>
      <c r="D393" s="20" t="n"/>
      <c r="E393" s="19">
        <f>IF(A393="","",IF(OR(A393&lt;YearStart,A393&gt;YearEnd),"-",IF(A393&lt;=P1End,"Q1",IF(A393&lt;=P2End,"Q2",IF(A393&lt;=P3End,"Q3","Q4")))))</f>
        <v/>
      </c>
    </row>
    <row r="394">
      <c r="A394" s="17" t="n"/>
      <c r="D394" s="20" t="n"/>
      <c r="E394" s="19">
        <f>IF(A394="","",IF(OR(A394&lt;YearStart,A394&gt;YearEnd),"-",IF(A394&lt;=P1End,"Q1",IF(A394&lt;=P2End,"Q2",IF(A394&lt;=P3End,"Q3","Q4")))))</f>
        <v/>
      </c>
    </row>
    <row r="395">
      <c r="A395" s="17" t="n"/>
      <c r="D395" s="20" t="n"/>
      <c r="E395" s="19">
        <f>IF(A395="","",IF(OR(A395&lt;YearStart,A395&gt;YearEnd),"-",IF(A395&lt;=P1End,"Q1",IF(A395&lt;=P2End,"Q2",IF(A395&lt;=P3End,"Q3","Q4")))))</f>
        <v/>
      </c>
    </row>
    <row r="396">
      <c r="A396" s="17" t="n"/>
      <c r="D396" s="20" t="n"/>
      <c r="E396" s="19">
        <f>IF(A396="","",IF(OR(A396&lt;YearStart,A396&gt;YearEnd),"-",IF(A396&lt;=P1End,"Q1",IF(A396&lt;=P2End,"Q2",IF(A396&lt;=P3End,"Q3","Q4")))))</f>
        <v/>
      </c>
    </row>
    <row r="397">
      <c r="A397" s="17" t="n"/>
      <c r="D397" s="20" t="n"/>
      <c r="E397" s="19">
        <f>IF(A397="","",IF(OR(A397&lt;YearStart,A397&gt;YearEnd),"-",IF(A397&lt;=P1End,"Q1",IF(A397&lt;=P2End,"Q2",IF(A397&lt;=P3End,"Q3","Q4")))))</f>
        <v/>
      </c>
    </row>
    <row r="398">
      <c r="A398" s="17" t="n"/>
      <c r="D398" s="20" t="n"/>
      <c r="E398" s="19">
        <f>IF(A398="","",IF(OR(A398&lt;YearStart,A398&gt;YearEnd),"-",IF(A398&lt;=P1End,"Q1",IF(A398&lt;=P2End,"Q2",IF(A398&lt;=P3End,"Q3","Q4")))))</f>
        <v/>
      </c>
    </row>
    <row r="399">
      <c r="A399" s="17" t="n"/>
      <c r="D399" s="20" t="n"/>
      <c r="E399" s="19">
        <f>IF(A399="","",IF(OR(A399&lt;YearStart,A399&gt;YearEnd),"-",IF(A399&lt;=P1End,"Q1",IF(A399&lt;=P2End,"Q2",IF(A399&lt;=P3End,"Q3","Q4")))))</f>
        <v/>
      </c>
    </row>
    <row r="400">
      <c r="A400" s="17" t="n"/>
      <c r="D400" s="20" t="n"/>
      <c r="E400" s="19">
        <f>IF(A400="","",IF(OR(A400&lt;YearStart,A400&gt;YearEnd),"-",IF(A400&lt;=P1End,"Q1",IF(A400&lt;=P2End,"Q2",IF(A400&lt;=P3End,"Q3","Q4")))))</f>
        <v/>
      </c>
    </row>
    <row r="401">
      <c r="A401" s="17" t="n"/>
      <c r="D401" s="20" t="n"/>
      <c r="E401" s="19">
        <f>IF(A401="","",IF(OR(A401&lt;YearStart,A401&gt;YearEnd),"-",IF(A401&lt;=P1End,"Q1",IF(A401&lt;=P2End,"Q2",IF(A401&lt;=P3End,"Q3","Q4")))))</f>
        <v/>
      </c>
    </row>
    <row r="402">
      <c r="A402" s="17" t="n"/>
      <c r="D402" s="20" t="n"/>
      <c r="E402" s="19">
        <f>IF(A402="","",IF(OR(A402&lt;YearStart,A402&gt;YearEnd),"-",IF(A402&lt;=P1End,"Q1",IF(A402&lt;=P2End,"Q2",IF(A402&lt;=P3End,"Q3","Q4")))))</f>
        <v/>
      </c>
    </row>
    <row r="403">
      <c r="A403" s="17" t="n"/>
      <c r="D403" s="20" t="n"/>
      <c r="E403" s="19">
        <f>IF(A403="","",IF(OR(A403&lt;YearStart,A403&gt;YearEnd),"-",IF(A403&lt;=P1End,"Q1",IF(A403&lt;=P2End,"Q2",IF(A403&lt;=P3End,"Q3","Q4")))))</f>
        <v/>
      </c>
    </row>
    <row r="404">
      <c r="A404" s="17" t="n"/>
      <c r="D404" s="20" t="n"/>
      <c r="E404" s="19">
        <f>IF(A404="","",IF(OR(A404&lt;YearStart,A404&gt;YearEnd),"-",IF(A404&lt;=P1End,"Q1",IF(A404&lt;=P2End,"Q2",IF(A404&lt;=P3End,"Q3","Q4")))))</f>
        <v/>
      </c>
    </row>
    <row r="405">
      <c r="A405" s="17" t="n"/>
      <c r="D405" s="20" t="n"/>
      <c r="E405" s="19">
        <f>IF(A405="","",IF(OR(A405&lt;YearStart,A405&gt;YearEnd),"-",IF(A405&lt;=P1End,"Q1",IF(A405&lt;=P2End,"Q2",IF(A405&lt;=P3End,"Q3","Q4")))))</f>
        <v/>
      </c>
    </row>
    <row r="406">
      <c r="A406" s="17" t="n"/>
      <c r="D406" s="20" t="n"/>
      <c r="E406" s="19">
        <f>IF(A406="","",IF(OR(A406&lt;YearStart,A406&gt;YearEnd),"-",IF(A406&lt;=P1End,"Q1",IF(A406&lt;=P2End,"Q2",IF(A406&lt;=P3End,"Q3","Q4")))))</f>
        <v/>
      </c>
    </row>
    <row r="407">
      <c r="A407" s="17" t="n"/>
      <c r="D407" s="20" t="n"/>
      <c r="E407" s="19">
        <f>IF(A407="","",IF(OR(A407&lt;YearStart,A407&gt;YearEnd),"-",IF(A407&lt;=P1End,"Q1",IF(A407&lt;=P2End,"Q2",IF(A407&lt;=P3End,"Q3","Q4")))))</f>
        <v/>
      </c>
    </row>
    <row r="408">
      <c r="A408" s="17" t="n"/>
      <c r="D408" s="20" t="n"/>
      <c r="E408" s="19">
        <f>IF(A408="","",IF(OR(A408&lt;YearStart,A408&gt;YearEnd),"-",IF(A408&lt;=P1End,"Q1",IF(A408&lt;=P2End,"Q2",IF(A408&lt;=P3End,"Q3","Q4")))))</f>
        <v/>
      </c>
    </row>
    <row r="409">
      <c r="A409" s="17" t="n"/>
      <c r="D409" s="20" t="n"/>
      <c r="E409" s="19">
        <f>IF(A409="","",IF(OR(A409&lt;YearStart,A409&gt;YearEnd),"-",IF(A409&lt;=P1End,"Q1",IF(A409&lt;=P2End,"Q2",IF(A409&lt;=P3End,"Q3","Q4")))))</f>
        <v/>
      </c>
    </row>
    <row r="410">
      <c r="A410" s="17" t="n"/>
      <c r="D410" s="20" t="n"/>
      <c r="E410" s="19">
        <f>IF(A410="","",IF(OR(A410&lt;YearStart,A410&gt;YearEnd),"-",IF(A410&lt;=P1End,"Q1",IF(A410&lt;=P2End,"Q2",IF(A410&lt;=P3End,"Q3","Q4")))))</f>
        <v/>
      </c>
    </row>
    <row r="411">
      <c r="A411" s="17" t="n"/>
      <c r="D411" s="20" t="n"/>
      <c r="E411" s="19">
        <f>IF(A411="","",IF(OR(A411&lt;YearStart,A411&gt;YearEnd),"-",IF(A411&lt;=P1End,"Q1",IF(A411&lt;=P2End,"Q2",IF(A411&lt;=P3End,"Q3","Q4")))))</f>
        <v/>
      </c>
    </row>
    <row r="412">
      <c r="A412" s="17" t="n"/>
      <c r="D412" s="20" t="n"/>
      <c r="E412" s="19">
        <f>IF(A412="","",IF(OR(A412&lt;YearStart,A412&gt;YearEnd),"-",IF(A412&lt;=P1End,"Q1",IF(A412&lt;=P2End,"Q2",IF(A412&lt;=P3End,"Q3","Q4")))))</f>
        <v/>
      </c>
    </row>
    <row r="413">
      <c r="A413" s="17" t="n"/>
      <c r="D413" s="20" t="n"/>
      <c r="E413" s="19">
        <f>IF(A413="","",IF(OR(A413&lt;YearStart,A413&gt;YearEnd),"-",IF(A413&lt;=P1End,"Q1",IF(A413&lt;=P2End,"Q2",IF(A413&lt;=P3End,"Q3","Q4")))))</f>
        <v/>
      </c>
    </row>
    <row r="414">
      <c r="A414" s="17" t="n"/>
      <c r="D414" s="20" t="n"/>
      <c r="E414" s="19">
        <f>IF(A414="","",IF(OR(A414&lt;YearStart,A414&gt;YearEnd),"-",IF(A414&lt;=P1End,"Q1",IF(A414&lt;=P2End,"Q2",IF(A414&lt;=P3End,"Q3","Q4")))))</f>
        <v/>
      </c>
    </row>
    <row r="415">
      <c r="A415" s="17" t="n"/>
      <c r="D415" s="20" t="n"/>
      <c r="E415" s="19">
        <f>IF(A415="","",IF(OR(A415&lt;YearStart,A415&gt;YearEnd),"-",IF(A415&lt;=P1End,"Q1",IF(A415&lt;=P2End,"Q2",IF(A415&lt;=P3End,"Q3","Q4")))))</f>
        <v/>
      </c>
    </row>
    <row r="416">
      <c r="A416" s="17" t="n"/>
      <c r="D416" s="20" t="n"/>
      <c r="E416" s="19">
        <f>IF(A416="","",IF(OR(A416&lt;YearStart,A416&gt;YearEnd),"-",IF(A416&lt;=P1End,"Q1",IF(A416&lt;=P2End,"Q2",IF(A416&lt;=P3End,"Q3","Q4")))))</f>
        <v/>
      </c>
    </row>
    <row r="417">
      <c r="A417" s="17" t="n"/>
      <c r="D417" s="20" t="n"/>
      <c r="E417" s="19">
        <f>IF(A417="","",IF(OR(A417&lt;YearStart,A417&gt;YearEnd),"-",IF(A417&lt;=P1End,"Q1",IF(A417&lt;=P2End,"Q2",IF(A417&lt;=P3End,"Q3","Q4")))))</f>
        <v/>
      </c>
    </row>
    <row r="418">
      <c r="A418" s="17" t="n"/>
      <c r="D418" s="20" t="n"/>
      <c r="E418" s="19">
        <f>IF(A418="","",IF(OR(A418&lt;YearStart,A418&gt;YearEnd),"-",IF(A418&lt;=P1End,"Q1",IF(A418&lt;=P2End,"Q2",IF(A418&lt;=P3End,"Q3","Q4")))))</f>
        <v/>
      </c>
    </row>
    <row r="419">
      <c r="A419" s="17" t="n"/>
      <c r="D419" s="20" t="n"/>
      <c r="E419" s="19">
        <f>IF(A419="","",IF(OR(A419&lt;YearStart,A419&gt;YearEnd),"-",IF(A419&lt;=P1End,"Q1",IF(A419&lt;=P2End,"Q2",IF(A419&lt;=P3End,"Q3","Q4")))))</f>
        <v/>
      </c>
    </row>
    <row r="420">
      <c r="A420" s="17" t="n"/>
      <c r="D420" s="20" t="n"/>
      <c r="E420" s="19">
        <f>IF(A420="","",IF(OR(A420&lt;YearStart,A420&gt;YearEnd),"-",IF(A420&lt;=P1End,"Q1",IF(A420&lt;=P2End,"Q2",IF(A420&lt;=P3End,"Q3","Q4")))))</f>
        <v/>
      </c>
    </row>
    <row r="421">
      <c r="A421" s="17" t="n"/>
      <c r="D421" s="20" t="n"/>
      <c r="E421" s="19">
        <f>IF(A421="","",IF(OR(A421&lt;YearStart,A421&gt;YearEnd),"-",IF(A421&lt;=P1End,"Q1",IF(A421&lt;=P2End,"Q2",IF(A421&lt;=P3End,"Q3","Q4")))))</f>
        <v/>
      </c>
    </row>
    <row r="422">
      <c r="A422" s="17" t="n"/>
      <c r="D422" s="20" t="n"/>
      <c r="E422" s="19">
        <f>IF(A422="","",IF(OR(A422&lt;YearStart,A422&gt;YearEnd),"-",IF(A422&lt;=P1End,"Q1",IF(A422&lt;=P2End,"Q2",IF(A422&lt;=P3End,"Q3","Q4")))))</f>
        <v/>
      </c>
    </row>
    <row r="423">
      <c r="A423" s="17" t="n"/>
      <c r="D423" s="20" t="n"/>
      <c r="E423" s="19">
        <f>IF(A423="","",IF(OR(A423&lt;YearStart,A423&gt;YearEnd),"-",IF(A423&lt;=P1End,"Q1",IF(A423&lt;=P2End,"Q2",IF(A423&lt;=P3End,"Q3","Q4")))))</f>
        <v/>
      </c>
    </row>
    <row r="424">
      <c r="A424" s="17" t="n"/>
      <c r="D424" s="20" t="n"/>
      <c r="E424" s="19">
        <f>IF(A424="","",IF(OR(A424&lt;YearStart,A424&gt;YearEnd),"-",IF(A424&lt;=P1End,"Q1",IF(A424&lt;=P2End,"Q2",IF(A424&lt;=P3End,"Q3","Q4")))))</f>
        <v/>
      </c>
    </row>
    <row r="425">
      <c r="A425" s="17" t="n"/>
      <c r="D425" s="20" t="n"/>
      <c r="E425" s="19">
        <f>IF(A425="","",IF(OR(A425&lt;YearStart,A425&gt;YearEnd),"-",IF(A425&lt;=P1End,"Q1",IF(A425&lt;=P2End,"Q2",IF(A425&lt;=P3End,"Q3","Q4")))))</f>
        <v/>
      </c>
    </row>
    <row r="426">
      <c r="A426" s="17" t="n"/>
      <c r="D426" s="20" t="n"/>
      <c r="E426" s="19">
        <f>IF(A426="","",IF(OR(A426&lt;YearStart,A426&gt;YearEnd),"-",IF(A426&lt;=P1End,"Q1",IF(A426&lt;=P2End,"Q2",IF(A426&lt;=P3End,"Q3","Q4")))))</f>
        <v/>
      </c>
    </row>
    <row r="427">
      <c r="A427" s="17" t="n"/>
      <c r="D427" s="20" t="n"/>
      <c r="E427" s="19">
        <f>IF(A427="","",IF(OR(A427&lt;YearStart,A427&gt;YearEnd),"-",IF(A427&lt;=P1End,"Q1",IF(A427&lt;=P2End,"Q2",IF(A427&lt;=P3End,"Q3","Q4")))))</f>
        <v/>
      </c>
    </row>
    <row r="428">
      <c r="A428" s="17" t="n"/>
      <c r="D428" s="20" t="n"/>
      <c r="E428" s="19">
        <f>IF(A428="","",IF(OR(A428&lt;YearStart,A428&gt;YearEnd),"-",IF(A428&lt;=P1End,"Q1",IF(A428&lt;=P2End,"Q2",IF(A428&lt;=P3End,"Q3","Q4")))))</f>
        <v/>
      </c>
    </row>
    <row r="429">
      <c r="A429" s="17" t="n"/>
      <c r="D429" s="20" t="n"/>
      <c r="E429" s="19">
        <f>IF(A429="","",IF(OR(A429&lt;YearStart,A429&gt;YearEnd),"-",IF(A429&lt;=P1End,"Q1",IF(A429&lt;=P2End,"Q2",IF(A429&lt;=P3End,"Q3","Q4")))))</f>
        <v/>
      </c>
    </row>
    <row r="430">
      <c r="A430" s="17" t="n"/>
      <c r="D430" s="20" t="n"/>
      <c r="E430" s="19">
        <f>IF(A430="","",IF(OR(A430&lt;YearStart,A430&gt;YearEnd),"-",IF(A430&lt;=P1End,"Q1",IF(A430&lt;=P2End,"Q2",IF(A430&lt;=P3End,"Q3","Q4")))))</f>
        <v/>
      </c>
    </row>
    <row r="431">
      <c r="A431" s="17" t="n"/>
      <c r="D431" s="20" t="n"/>
      <c r="E431" s="19">
        <f>IF(A431="","",IF(OR(A431&lt;YearStart,A431&gt;YearEnd),"-",IF(A431&lt;=P1End,"Q1",IF(A431&lt;=P2End,"Q2",IF(A431&lt;=P3End,"Q3","Q4")))))</f>
        <v/>
      </c>
    </row>
    <row r="432">
      <c r="A432" s="17" t="n"/>
      <c r="D432" s="20" t="n"/>
      <c r="E432" s="19">
        <f>IF(A432="","",IF(OR(A432&lt;YearStart,A432&gt;YearEnd),"-",IF(A432&lt;=P1End,"Q1",IF(A432&lt;=P2End,"Q2",IF(A432&lt;=P3End,"Q3","Q4")))))</f>
        <v/>
      </c>
    </row>
    <row r="433">
      <c r="A433" s="17" t="n"/>
      <c r="D433" s="20" t="n"/>
      <c r="E433" s="19">
        <f>IF(A433="","",IF(OR(A433&lt;YearStart,A433&gt;YearEnd),"-",IF(A433&lt;=P1End,"Q1",IF(A433&lt;=P2End,"Q2",IF(A433&lt;=P3End,"Q3","Q4")))))</f>
        <v/>
      </c>
    </row>
    <row r="434">
      <c r="A434" s="17" t="n"/>
      <c r="D434" s="20" t="n"/>
      <c r="E434" s="19">
        <f>IF(A434="","",IF(OR(A434&lt;YearStart,A434&gt;YearEnd),"-",IF(A434&lt;=P1End,"Q1",IF(A434&lt;=P2End,"Q2",IF(A434&lt;=P3End,"Q3","Q4")))))</f>
        <v/>
      </c>
    </row>
    <row r="435">
      <c r="A435" s="17" t="n"/>
      <c r="D435" s="20" t="n"/>
      <c r="E435" s="19">
        <f>IF(A435="","",IF(OR(A435&lt;YearStart,A435&gt;YearEnd),"-",IF(A435&lt;=P1End,"Q1",IF(A435&lt;=P2End,"Q2",IF(A435&lt;=P3End,"Q3","Q4")))))</f>
        <v/>
      </c>
    </row>
    <row r="436">
      <c r="A436" s="17" t="n"/>
      <c r="D436" s="20" t="n"/>
      <c r="E436" s="19">
        <f>IF(A436="","",IF(OR(A436&lt;YearStart,A436&gt;YearEnd),"-",IF(A436&lt;=P1End,"Q1",IF(A436&lt;=P2End,"Q2",IF(A436&lt;=P3End,"Q3","Q4")))))</f>
        <v/>
      </c>
    </row>
    <row r="437">
      <c r="A437" s="17" t="n"/>
      <c r="D437" s="20" t="n"/>
      <c r="E437" s="19">
        <f>IF(A437="","",IF(OR(A437&lt;YearStart,A437&gt;YearEnd),"-",IF(A437&lt;=P1End,"Q1",IF(A437&lt;=P2End,"Q2",IF(A437&lt;=P3End,"Q3","Q4")))))</f>
        <v/>
      </c>
    </row>
    <row r="438">
      <c r="A438" s="17" t="n"/>
      <c r="D438" s="20" t="n"/>
      <c r="E438" s="19">
        <f>IF(A438="","",IF(OR(A438&lt;YearStart,A438&gt;YearEnd),"-",IF(A438&lt;=P1End,"Q1",IF(A438&lt;=P2End,"Q2",IF(A438&lt;=P3End,"Q3","Q4")))))</f>
        <v/>
      </c>
    </row>
    <row r="439">
      <c r="A439" s="17" t="n"/>
      <c r="D439" s="20" t="n"/>
      <c r="E439" s="19">
        <f>IF(A439="","",IF(OR(A439&lt;YearStart,A439&gt;YearEnd),"-",IF(A439&lt;=P1End,"Q1",IF(A439&lt;=P2End,"Q2",IF(A439&lt;=P3End,"Q3","Q4")))))</f>
        <v/>
      </c>
    </row>
    <row r="440">
      <c r="A440" s="17" t="n"/>
      <c r="D440" s="20" t="n"/>
      <c r="E440" s="19">
        <f>IF(A440="","",IF(OR(A440&lt;YearStart,A440&gt;YearEnd),"-",IF(A440&lt;=P1End,"Q1",IF(A440&lt;=P2End,"Q2",IF(A440&lt;=P3End,"Q3","Q4")))))</f>
        <v/>
      </c>
    </row>
    <row r="441">
      <c r="A441" s="17" t="n"/>
      <c r="D441" s="20" t="n"/>
      <c r="E441" s="19">
        <f>IF(A441="","",IF(OR(A441&lt;YearStart,A441&gt;YearEnd),"-",IF(A441&lt;=P1End,"Q1",IF(A441&lt;=P2End,"Q2",IF(A441&lt;=P3End,"Q3","Q4")))))</f>
        <v/>
      </c>
    </row>
    <row r="442">
      <c r="A442" s="17" t="n"/>
      <c r="D442" s="20" t="n"/>
      <c r="E442" s="19">
        <f>IF(A442="","",IF(OR(A442&lt;YearStart,A442&gt;YearEnd),"-",IF(A442&lt;=P1End,"Q1",IF(A442&lt;=P2End,"Q2",IF(A442&lt;=P3End,"Q3","Q4")))))</f>
        <v/>
      </c>
    </row>
    <row r="443">
      <c r="A443" s="17" t="n"/>
      <c r="D443" s="20" t="n"/>
      <c r="E443" s="19">
        <f>IF(A443="","",IF(OR(A443&lt;YearStart,A443&gt;YearEnd),"-",IF(A443&lt;=P1End,"Q1",IF(A443&lt;=P2End,"Q2",IF(A443&lt;=P3End,"Q3","Q4")))))</f>
        <v/>
      </c>
    </row>
    <row r="444">
      <c r="A444" s="17" t="n"/>
      <c r="D444" s="20" t="n"/>
      <c r="E444" s="19">
        <f>IF(A444="","",IF(OR(A444&lt;YearStart,A444&gt;YearEnd),"-",IF(A444&lt;=P1End,"Q1",IF(A444&lt;=P2End,"Q2",IF(A444&lt;=P3End,"Q3","Q4")))))</f>
        <v/>
      </c>
    </row>
    <row r="445">
      <c r="A445" s="17" t="n"/>
      <c r="D445" s="20" t="n"/>
      <c r="E445" s="19">
        <f>IF(A445="","",IF(OR(A445&lt;YearStart,A445&gt;YearEnd),"-",IF(A445&lt;=P1End,"Q1",IF(A445&lt;=P2End,"Q2",IF(A445&lt;=P3End,"Q3","Q4")))))</f>
        <v/>
      </c>
    </row>
    <row r="446">
      <c r="A446" s="17" t="n"/>
      <c r="D446" s="20" t="n"/>
      <c r="E446" s="19">
        <f>IF(A446="","",IF(OR(A446&lt;YearStart,A446&gt;YearEnd),"-",IF(A446&lt;=P1End,"Q1",IF(A446&lt;=P2End,"Q2",IF(A446&lt;=P3End,"Q3","Q4")))))</f>
        <v/>
      </c>
    </row>
    <row r="447">
      <c r="A447" s="17" t="n"/>
      <c r="D447" s="20" t="n"/>
      <c r="E447" s="19">
        <f>IF(A447="","",IF(OR(A447&lt;YearStart,A447&gt;YearEnd),"-",IF(A447&lt;=P1End,"Q1",IF(A447&lt;=P2End,"Q2",IF(A447&lt;=P3End,"Q3","Q4")))))</f>
        <v/>
      </c>
    </row>
    <row r="448">
      <c r="A448" s="17" t="n"/>
      <c r="D448" s="20" t="n"/>
      <c r="E448" s="19">
        <f>IF(A448="","",IF(OR(A448&lt;YearStart,A448&gt;YearEnd),"-",IF(A448&lt;=P1End,"Q1",IF(A448&lt;=P2End,"Q2",IF(A448&lt;=P3End,"Q3","Q4")))))</f>
        <v/>
      </c>
    </row>
    <row r="449">
      <c r="A449" s="17" t="n"/>
      <c r="D449" s="20" t="n"/>
      <c r="E449" s="19">
        <f>IF(A449="","",IF(OR(A449&lt;YearStart,A449&gt;YearEnd),"-",IF(A449&lt;=P1End,"Q1",IF(A449&lt;=P2End,"Q2",IF(A449&lt;=P3End,"Q3","Q4")))))</f>
        <v/>
      </c>
    </row>
    <row r="450">
      <c r="A450" s="17" t="n"/>
      <c r="D450" s="20" t="n"/>
      <c r="E450" s="19">
        <f>IF(A450="","",IF(OR(A450&lt;YearStart,A450&gt;YearEnd),"-",IF(A450&lt;=P1End,"Q1",IF(A450&lt;=P2End,"Q2",IF(A450&lt;=P3End,"Q3","Q4")))))</f>
        <v/>
      </c>
    </row>
    <row r="451">
      <c r="A451" s="17" t="n"/>
      <c r="D451" s="20" t="n"/>
      <c r="E451" s="19">
        <f>IF(A451="","",IF(OR(A451&lt;YearStart,A451&gt;YearEnd),"-",IF(A451&lt;=P1End,"Q1",IF(A451&lt;=P2End,"Q2",IF(A451&lt;=P3End,"Q3","Q4")))))</f>
        <v/>
      </c>
    </row>
    <row r="452">
      <c r="A452" s="17" t="n"/>
      <c r="D452" s="20" t="n"/>
      <c r="E452" s="19">
        <f>IF(A452="","",IF(OR(A452&lt;YearStart,A452&gt;YearEnd),"-",IF(A452&lt;=P1End,"Q1",IF(A452&lt;=P2End,"Q2",IF(A452&lt;=P3End,"Q3","Q4")))))</f>
        <v/>
      </c>
    </row>
    <row r="453">
      <c r="A453" s="17" t="n"/>
      <c r="D453" s="20" t="n"/>
      <c r="E453" s="19">
        <f>IF(A453="","",IF(OR(A453&lt;YearStart,A453&gt;YearEnd),"-",IF(A453&lt;=P1End,"Q1",IF(A453&lt;=P2End,"Q2",IF(A453&lt;=P3End,"Q3","Q4")))))</f>
        <v/>
      </c>
    </row>
    <row r="454">
      <c r="A454" s="17" t="n"/>
      <c r="D454" s="20" t="n"/>
      <c r="E454" s="19">
        <f>IF(A454="","",IF(OR(A454&lt;YearStart,A454&gt;YearEnd),"-",IF(A454&lt;=P1End,"Q1",IF(A454&lt;=P2End,"Q2",IF(A454&lt;=P3End,"Q3","Q4")))))</f>
        <v/>
      </c>
    </row>
    <row r="455">
      <c r="A455" s="17" t="n"/>
      <c r="D455" s="20" t="n"/>
      <c r="E455" s="19">
        <f>IF(A455="","",IF(OR(A455&lt;YearStart,A455&gt;YearEnd),"-",IF(A455&lt;=P1End,"Q1",IF(A455&lt;=P2End,"Q2",IF(A455&lt;=P3End,"Q3","Q4")))))</f>
        <v/>
      </c>
    </row>
    <row r="456">
      <c r="A456" s="17" t="n"/>
      <c r="D456" s="20" t="n"/>
      <c r="E456" s="19">
        <f>IF(A456="","",IF(OR(A456&lt;YearStart,A456&gt;YearEnd),"-",IF(A456&lt;=P1End,"Q1",IF(A456&lt;=P2End,"Q2",IF(A456&lt;=P3End,"Q3","Q4")))))</f>
        <v/>
      </c>
    </row>
    <row r="457">
      <c r="A457" s="17" t="n"/>
      <c r="D457" s="20" t="n"/>
      <c r="E457" s="19">
        <f>IF(A457="","",IF(OR(A457&lt;YearStart,A457&gt;YearEnd),"-",IF(A457&lt;=P1End,"Q1",IF(A457&lt;=P2End,"Q2",IF(A457&lt;=P3End,"Q3","Q4")))))</f>
        <v/>
      </c>
    </row>
    <row r="458">
      <c r="A458" s="17" t="n"/>
      <c r="D458" s="20" t="n"/>
      <c r="E458" s="19">
        <f>IF(A458="","",IF(OR(A458&lt;YearStart,A458&gt;YearEnd),"-",IF(A458&lt;=P1End,"Q1",IF(A458&lt;=P2End,"Q2",IF(A458&lt;=P3End,"Q3","Q4")))))</f>
        <v/>
      </c>
    </row>
    <row r="459">
      <c r="A459" s="17" t="n"/>
      <c r="D459" s="20" t="n"/>
      <c r="E459" s="19">
        <f>IF(A459="","",IF(OR(A459&lt;YearStart,A459&gt;YearEnd),"-",IF(A459&lt;=P1End,"Q1",IF(A459&lt;=P2End,"Q2",IF(A459&lt;=P3End,"Q3","Q4")))))</f>
        <v/>
      </c>
    </row>
    <row r="460">
      <c r="A460" s="17" t="n"/>
      <c r="D460" s="20" t="n"/>
      <c r="E460" s="19">
        <f>IF(A460="","",IF(OR(A460&lt;YearStart,A460&gt;YearEnd),"-",IF(A460&lt;=P1End,"Q1",IF(A460&lt;=P2End,"Q2",IF(A460&lt;=P3End,"Q3","Q4")))))</f>
        <v/>
      </c>
    </row>
    <row r="461">
      <c r="A461" s="17" t="n"/>
      <c r="D461" s="20" t="n"/>
      <c r="E461" s="19">
        <f>IF(A461="","",IF(OR(A461&lt;YearStart,A461&gt;YearEnd),"-",IF(A461&lt;=P1End,"Q1",IF(A461&lt;=P2End,"Q2",IF(A461&lt;=P3End,"Q3","Q4")))))</f>
        <v/>
      </c>
    </row>
    <row r="462">
      <c r="A462" s="17" t="n"/>
      <c r="D462" s="20" t="n"/>
      <c r="E462" s="19">
        <f>IF(A462="","",IF(OR(A462&lt;YearStart,A462&gt;YearEnd),"-",IF(A462&lt;=P1End,"Q1",IF(A462&lt;=P2End,"Q2",IF(A462&lt;=P3End,"Q3","Q4")))))</f>
        <v/>
      </c>
    </row>
    <row r="463">
      <c r="A463" s="17" t="n"/>
      <c r="D463" s="20" t="n"/>
      <c r="E463" s="19">
        <f>IF(A463="","",IF(OR(A463&lt;YearStart,A463&gt;YearEnd),"-",IF(A463&lt;=P1End,"Q1",IF(A463&lt;=P2End,"Q2",IF(A463&lt;=P3End,"Q3","Q4")))))</f>
        <v/>
      </c>
    </row>
    <row r="464">
      <c r="A464" s="17" t="n"/>
      <c r="D464" s="20" t="n"/>
      <c r="E464" s="19">
        <f>IF(A464="","",IF(OR(A464&lt;YearStart,A464&gt;YearEnd),"-",IF(A464&lt;=P1End,"Q1",IF(A464&lt;=P2End,"Q2",IF(A464&lt;=P3End,"Q3","Q4")))))</f>
        <v/>
      </c>
    </row>
    <row r="465">
      <c r="A465" s="17" t="n"/>
      <c r="D465" s="20" t="n"/>
      <c r="E465" s="19">
        <f>IF(A465="","",IF(OR(A465&lt;YearStart,A465&gt;YearEnd),"-",IF(A465&lt;=P1End,"Q1",IF(A465&lt;=P2End,"Q2",IF(A465&lt;=P3End,"Q3","Q4")))))</f>
        <v/>
      </c>
    </row>
    <row r="466">
      <c r="A466" s="17" t="n"/>
      <c r="D466" s="20" t="n"/>
      <c r="E466" s="19">
        <f>IF(A466="","",IF(OR(A466&lt;YearStart,A466&gt;YearEnd),"-",IF(A466&lt;=P1End,"Q1",IF(A466&lt;=P2End,"Q2",IF(A466&lt;=P3End,"Q3","Q4")))))</f>
        <v/>
      </c>
    </row>
    <row r="467">
      <c r="A467" s="17" t="n"/>
      <c r="D467" s="20" t="n"/>
      <c r="E467" s="19">
        <f>IF(A467="","",IF(OR(A467&lt;YearStart,A467&gt;YearEnd),"-",IF(A467&lt;=P1End,"Q1",IF(A467&lt;=P2End,"Q2",IF(A467&lt;=P3End,"Q3","Q4")))))</f>
        <v/>
      </c>
    </row>
    <row r="468">
      <c r="A468" s="17" t="n"/>
      <c r="D468" s="20" t="n"/>
      <c r="E468" s="19">
        <f>IF(A468="","",IF(OR(A468&lt;YearStart,A468&gt;YearEnd),"-",IF(A468&lt;=P1End,"Q1",IF(A468&lt;=P2End,"Q2",IF(A468&lt;=P3End,"Q3","Q4")))))</f>
        <v/>
      </c>
    </row>
    <row r="469">
      <c r="A469" s="17" t="n"/>
      <c r="D469" s="20" t="n"/>
      <c r="E469" s="19">
        <f>IF(A469="","",IF(OR(A469&lt;YearStart,A469&gt;YearEnd),"-",IF(A469&lt;=P1End,"Q1",IF(A469&lt;=P2End,"Q2",IF(A469&lt;=P3End,"Q3","Q4")))))</f>
        <v/>
      </c>
    </row>
    <row r="470">
      <c r="A470" s="17" t="n"/>
      <c r="D470" s="20" t="n"/>
      <c r="E470" s="19">
        <f>IF(A470="","",IF(OR(A470&lt;YearStart,A470&gt;YearEnd),"-",IF(A470&lt;=P1End,"Q1",IF(A470&lt;=P2End,"Q2",IF(A470&lt;=P3End,"Q3","Q4")))))</f>
        <v/>
      </c>
    </row>
    <row r="471">
      <c r="A471" s="17" t="n"/>
      <c r="D471" s="20" t="n"/>
      <c r="E471" s="19">
        <f>IF(A471="","",IF(OR(A471&lt;YearStart,A471&gt;YearEnd),"-",IF(A471&lt;=P1End,"Q1",IF(A471&lt;=P2End,"Q2",IF(A471&lt;=P3End,"Q3","Q4")))))</f>
        <v/>
      </c>
    </row>
    <row r="472">
      <c r="A472" s="17" t="n"/>
      <c r="D472" s="20" t="n"/>
      <c r="E472" s="19">
        <f>IF(A472="","",IF(OR(A472&lt;YearStart,A472&gt;YearEnd),"-",IF(A472&lt;=P1End,"Q1",IF(A472&lt;=P2End,"Q2",IF(A472&lt;=P3End,"Q3","Q4")))))</f>
        <v/>
      </c>
    </row>
    <row r="473">
      <c r="A473" s="17" t="n"/>
      <c r="D473" s="20" t="n"/>
      <c r="E473" s="19">
        <f>IF(A473="","",IF(OR(A473&lt;YearStart,A473&gt;YearEnd),"-",IF(A473&lt;=P1End,"Q1",IF(A473&lt;=P2End,"Q2",IF(A473&lt;=P3End,"Q3","Q4")))))</f>
        <v/>
      </c>
    </row>
    <row r="474">
      <c r="A474" s="17" t="n"/>
      <c r="D474" s="20" t="n"/>
      <c r="E474" s="19">
        <f>IF(A474="","",IF(OR(A474&lt;YearStart,A474&gt;YearEnd),"-",IF(A474&lt;=P1End,"Q1",IF(A474&lt;=P2End,"Q2",IF(A474&lt;=P3End,"Q3","Q4")))))</f>
        <v/>
      </c>
    </row>
    <row r="475">
      <c r="A475" s="17" t="n"/>
      <c r="D475" s="20" t="n"/>
      <c r="E475" s="19">
        <f>IF(A475="","",IF(OR(A475&lt;YearStart,A475&gt;YearEnd),"-",IF(A475&lt;=P1End,"Q1",IF(A475&lt;=P2End,"Q2",IF(A475&lt;=P3End,"Q3","Q4")))))</f>
        <v/>
      </c>
    </row>
    <row r="476">
      <c r="A476" s="17" t="n"/>
      <c r="D476" s="20" t="n"/>
      <c r="E476" s="19">
        <f>IF(A476="","",IF(OR(A476&lt;YearStart,A476&gt;YearEnd),"-",IF(A476&lt;=P1End,"Q1",IF(A476&lt;=P2End,"Q2",IF(A476&lt;=P3End,"Q3","Q4")))))</f>
        <v/>
      </c>
    </row>
    <row r="477">
      <c r="A477" s="17" t="n"/>
      <c r="D477" s="20" t="n"/>
      <c r="E477" s="19">
        <f>IF(A477="","",IF(OR(A477&lt;YearStart,A477&gt;YearEnd),"-",IF(A477&lt;=P1End,"Q1",IF(A477&lt;=P2End,"Q2",IF(A477&lt;=P3End,"Q3","Q4")))))</f>
        <v/>
      </c>
    </row>
    <row r="478">
      <c r="A478" s="17" t="n"/>
      <c r="D478" s="20" t="n"/>
      <c r="E478" s="19">
        <f>IF(A478="","",IF(OR(A478&lt;YearStart,A478&gt;YearEnd),"-",IF(A478&lt;=P1End,"Q1",IF(A478&lt;=P2End,"Q2",IF(A478&lt;=P3End,"Q3","Q4")))))</f>
        <v/>
      </c>
    </row>
    <row r="479">
      <c r="A479" s="17" t="n"/>
      <c r="D479" s="20" t="n"/>
      <c r="E479" s="19">
        <f>IF(A479="","",IF(OR(A479&lt;YearStart,A479&gt;YearEnd),"-",IF(A479&lt;=P1End,"Q1",IF(A479&lt;=P2End,"Q2",IF(A479&lt;=P3End,"Q3","Q4")))))</f>
        <v/>
      </c>
    </row>
    <row r="480">
      <c r="A480" s="17" t="n"/>
      <c r="D480" s="20" t="n"/>
      <c r="E480" s="19">
        <f>IF(A480="","",IF(OR(A480&lt;YearStart,A480&gt;YearEnd),"-",IF(A480&lt;=P1End,"Q1",IF(A480&lt;=P2End,"Q2",IF(A480&lt;=P3End,"Q3","Q4")))))</f>
        <v/>
      </c>
    </row>
    <row r="481">
      <c r="A481" s="17" t="n"/>
      <c r="D481" s="20" t="n"/>
      <c r="E481" s="19">
        <f>IF(A481="","",IF(OR(A481&lt;YearStart,A481&gt;YearEnd),"-",IF(A481&lt;=P1End,"Q1",IF(A481&lt;=P2End,"Q2",IF(A481&lt;=P3End,"Q3","Q4")))))</f>
        <v/>
      </c>
    </row>
    <row r="482">
      <c r="A482" s="17" t="n"/>
      <c r="D482" s="20" t="n"/>
      <c r="E482" s="19">
        <f>IF(A482="","",IF(OR(A482&lt;YearStart,A482&gt;YearEnd),"-",IF(A482&lt;=P1End,"Q1",IF(A482&lt;=P2End,"Q2",IF(A482&lt;=P3End,"Q3","Q4")))))</f>
        <v/>
      </c>
    </row>
    <row r="483">
      <c r="A483" s="17" t="n"/>
      <c r="D483" s="20" t="n"/>
      <c r="E483" s="19">
        <f>IF(A483="","",IF(OR(A483&lt;YearStart,A483&gt;YearEnd),"-",IF(A483&lt;=P1End,"Q1",IF(A483&lt;=P2End,"Q2",IF(A483&lt;=P3End,"Q3","Q4")))))</f>
        <v/>
      </c>
    </row>
    <row r="484">
      <c r="A484" s="17" t="n"/>
      <c r="D484" s="20" t="n"/>
      <c r="E484" s="19">
        <f>IF(A484="","",IF(OR(A484&lt;YearStart,A484&gt;YearEnd),"-",IF(A484&lt;=P1End,"Q1",IF(A484&lt;=P2End,"Q2",IF(A484&lt;=P3End,"Q3","Q4")))))</f>
        <v/>
      </c>
    </row>
    <row r="485">
      <c r="A485" s="17" t="n"/>
      <c r="D485" s="20" t="n"/>
      <c r="E485" s="19">
        <f>IF(A485="","",IF(OR(A485&lt;YearStart,A485&gt;YearEnd),"-",IF(A485&lt;=P1End,"Q1",IF(A485&lt;=P2End,"Q2",IF(A485&lt;=P3End,"Q3","Q4")))))</f>
        <v/>
      </c>
    </row>
    <row r="486">
      <c r="A486" s="17" t="n"/>
      <c r="D486" s="20" t="n"/>
      <c r="E486" s="19">
        <f>IF(A486="","",IF(OR(A486&lt;YearStart,A486&gt;YearEnd),"-",IF(A486&lt;=P1End,"Q1",IF(A486&lt;=P2End,"Q2",IF(A486&lt;=P3End,"Q3","Q4")))))</f>
        <v/>
      </c>
    </row>
    <row r="487">
      <c r="A487" s="17" t="n"/>
      <c r="D487" s="20" t="n"/>
      <c r="E487" s="19">
        <f>IF(A487="","",IF(OR(A487&lt;YearStart,A487&gt;YearEnd),"-",IF(A487&lt;=P1End,"Q1",IF(A487&lt;=P2End,"Q2",IF(A487&lt;=P3End,"Q3","Q4")))))</f>
        <v/>
      </c>
    </row>
    <row r="488">
      <c r="A488" s="17" t="n"/>
      <c r="D488" s="20" t="n"/>
      <c r="E488" s="19">
        <f>IF(A488="","",IF(OR(A488&lt;YearStart,A488&gt;YearEnd),"-",IF(A488&lt;=P1End,"Q1",IF(A488&lt;=P2End,"Q2",IF(A488&lt;=P3End,"Q3","Q4")))))</f>
        <v/>
      </c>
    </row>
    <row r="489">
      <c r="A489" s="17" t="n"/>
      <c r="D489" s="20" t="n"/>
      <c r="E489" s="19">
        <f>IF(A489="","",IF(OR(A489&lt;YearStart,A489&gt;YearEnd),"-",IF(A489&lt;=P1End,"Q1",IF(A489&lt;=P2End,"Q2",IF(A489&lt;=P3End,"Q3","Q4")))))</f>
        <v/>
      </c>
    </row>
    <row r="490">
      <c r="A490" s="17" t="n"/>
      <c r="D490" s="20" t="n"/>
      <c r="E490" s="19">
        <f>IF(A490="","",IF(OR(A490&lt;YearStart,A490&gt;YearEnd),"-",IF(A490&lt;=P1End,"Q1",IF(A490&lt;=P2End,"Q2",IF(A490&lt;=P3End,"Q3","Q4")))))</f>
        <v/>
      </c>
    </row>
    <row r="491">
      <c r="A491" s="17" t="n"/>
      <c r="D491" s="20" t="n"/>
      <c r="E491" s="19">
        <f>IF(A491="","",IF(OR(A491&lt;YearStart,A491&gt;YearEnd),"-",IF(A491&lt;=P1End,"Q1",IF(A491&lt;=P2End,"Q2",IF(A491&lt;=P3End,"Q3","Q4")))))</f>
        <v/>
      </c>
    </row>
    <row r="492">
      <c r="A492" s="17" t="n"/>
      <c r="D492" s="20" t="n"/>
      <c r="E492" s="19">
        <f>IF(A492="","",IF(OR(A492&lt;YearStart,A492&gt;YearEnd),"-",IF(A492&lt;=P1End,"Q1",IF(A492&lt;=P2End,"Q2",IF(A492&lt;=P3End,"Q3","Q4")))))</f>
        <v/>
      </c>
    </row>
    <row r="493">
      <c r="A493" s="17" t="n"/>
      <c r="D493" s="20" t="n"/>
      <c r="E493" s="19">
        <f>IF(A493="","",IF(OR(A493&lt;YearStart,A493&gt;YearEnd),"-",IF(A493&lt;=P1End,"Q1",IF(A493&lt;=P2End,"Q2",IF(A493&lt;=P3End,"Q3","Q4")))))</f>
        <v/>
      </c>
    </row>
    <row r="494">
      <c r="A494" s="17" t="n"/>
      <c r="D494" s="20" t="n"/>
      <c r="E494" s="19">
        <f>IF(A494="","",IF(OR(A494&lt;YearStart,A494&gt;YearEnd),"-",IF(A494&lt;=P1End,"Q1",IF(A494&lt;=P2End,"Q2",IF(A494&lt;=P3End,"Q3","Q4")))))</f>
        <v/>
      </c>
    </row>
    <row r="495">
      <c r="A495" s="17" t="n"/>
      <c r="D495" s="20" t="n"/>
      <c r="E495" s="19">
        <f>IF(A495="","",IF(OR(A495&lt;YearStart,A495&gt;YearEnd),"-",IF(A495&lt;=P1End,"Q1",IF(A495&lt;=P2End,"Q2",IF(A495&lt;=P3End,"Q3","Q4")))))</f>
        <v/>
      </c>
    </row>
    <row r="496">
      <c r="A496" s="17" t="n"/>
      <c r="D496" s="20" t="n"/>
      <c r="E496" s="19">
        <f>IF(A496="","",IF(OR(A496&lt;YearStart,A496&gt;YearEnd),"-",IF(A496&lt;=P1End,"Q1",IF(A496&lt;=P2End,"Q2",IF(A496&lt;=P3End,"Q3","Q4")))))</f>
        <v/>
      </c>
    </row>
    <row r="497">
      <c r="A497" s="17" t="n"/>
      <c r="D497" s="20" t="n"/>
      <c r="E497" s="19">
        <f>IF(A497="","",IF(OR(A497&lt;YearStart,A497&gt;YearEnd),"-",IF(A497&lt;=P1End,"Q1",IF(A497&lt;=P2End,"Q2",IF(A497&lt;=P3End,"Q3","Q4")))))</f>
        <v/>
      </c>
    </row>
    <row r="498">
      <c r="A498" s="17" t="n"/>
      <c r="D498" s="20" t="n"/>
      <c r="E498" s="19">
        <f>IF(A498="","",IF(OR(A498&lt;YearStart,A498&gt;YearEnd),"-",IF(A498&lt;=P1End,"Q1",IF(A498&lt;=P2End,"Q2",IF(A498&lt;=P3End,"Q3","Q4")))))</f>
        <v/>
      </c>
    </row>
    <row r="499">
      <c r="A499" s="17" t="n"/>
      <c r="D499" s="20" t="n"/>
      <c r="E499" s="19">
        <f>IF(A499="","",IF(OR(A499&lt;YearStart,A499&gt;YearEnd),"-",IF(A499&lt;=P1End,"Q1",IF(A499&lt;=P2End,"Q2",IF(A499&lt;=P3End,"Q3","Q4")))))</f>
        <v/>
      </c>
    </row>
    <row r="500">
      <c r="A500" s="17" t="n"/>
      <c r="D500" s="20" t="n"/>
      <c r="E500" s="19">
        <f>IF(A500="","",IF(OR(A500&lt;YearStart,A500&gt;YearEnd),"-",IF(A500&lt;=P1End,"Q1",IF(A500&lt;=P2End,"Q2",IF(A500&lt;=P3End,"Q3","Q4")))))</f>
        <v/>
      </c>
    </row>
    <row r="501">
      <c r="A501" s="17" t="n"/>
      <c r="D501" s="20" t="n"/>
      <c r="E501" s="19">
        <f>IF(A501="","",IF(OR(A501&lt;YearStart,A501&gt;YearEnd),"-",IF(A501&lt;=P1End,"Q1",IF(A501&lt;=P2End,"Q2",IF(A501&lt;=P3End,"Q3","Q4")))))</f>
        <v/>
      </c>
    </row>
    <row r="502">
      <c r="A502" s="17" t="n"/>
      <c r="D502" s="20" t="n"/>
      <c r="E502" s="19">
        <f>IF(A502="","",IF(OR(A502&lt;YearStart,A502&gt;YearEnd),"-",IF(A502&lt;=P1End,"Q1",IF(A502&lt;=P2End,"Q2",IF(A502&lt;=P3End,"Q3","Q4")))))</f>
        <v/>
      </c>
    </row>
    <row r="503">
      <c r="A503" s="17" t="n"/>
      <c r="D503" s="20" t="n"/>
      <c r="E503" s="19">
        <f>IF(A503="","",IF(OR(A503&lt;YearStart,A503&gt;YearEnd),"-",IF(A503&lt;=P1End,"Q1",IF(A503&lt;=P2End,"Q2",IF(A503&lt;=P3End,"Q3","Q4")))))</f>
        <v/>
      </c>
    </row>
    <row r="504">
      <c r="A504" s="17" t="n"/>
      <c r="D504" s="20" t="n"/>
      <c r="E504" s="19">
        <f>IF(A504="","",IF(OR(A504&lt;YearStart,A504&gt;YearEnd),"-",IF(A504&lt;=P1End,"Q1",IF(A504&lt;=P2End,"Q2",IF(A504&lt;=P3End,"Q3","Q4")))))</f>
        <v/>
      </c>
    </row>
    <row r="505">
      <c r="A505" s="17" t="n"/>
      <c r="D505" s="20" t="n"/>
      <c r="E505" s="19">
        <f>IF(A505="","",IF(OR(A505&lt;YearStart,A505&gt;YearEnd),"-",IF(A505&lt;=P1End,"Q1",IF(A505&lt;=P2End,"Q2",IF(A505&lt;=P3End,"Q3","Q4")))))</f>
        <v/>
      </c>
    </row>
    <row r="506">
      <c r="A506" s="17" t="n"/>
      <c r="D506" s="20" t="n"/>
      <c r="E506" s="19">
        <f>IF(A506="","",IF(OR(A506&lt;YearStart,A506&gt;YearEnd),"-",IF(A506&lt;=P1End,"Q1",IF(A506&lt;=P2End,"Q2",IF(A506&lt;=P3End,"Q3","Q4")))))</f>
        <v/>
      </c>
    </row>
    <row r="507">
      <c r="A507" s="17" t="n"/>
      <c r="D507" s="20" t="n"/>
      <c r="E507" s="19">
        <f>IF(A507="","",IF(OR(A507&lt;YearStart,A507&gt;YearEnd),"-",IF(A507&lt;=P1End,"Q1",IF(A507&lt;=P2End,"Q2",IF(A507&lt;=P3End,"Q3","Q4")))))</f>
        <v/>
      </c>
    </row>
    <row r="508">
      <c r="A508" s="17" t="n"/>
      <c r="D508" s="20" t="n"/>
      <c r="E508" s="19">
        <f>IF(A508="","",IF(OR(A508&lt;YearStart,A508&gt;YearEnd),"-",IF(A508&lt;=P1End,"Q1",IF(A508&lt;=P2End,"Q2",IF(A508&lt;=P3End,"Q3","Q4")))))</f>
        <v/>
      </c>
    </row>
    <row r="509">
      <c r="A509" s="17" t="n"/>
      <c r="D509" s="20" t="n"/>
      <c r="E509" s="19">
        <f>IF(A509="","",IF(OR(A509&lt;YearStart,A509&gt;YearEnd),"-",IF(A509&lt;=P1End,"Q1",IF(A509&lt;=P2End,"Q2",IF(A509&lt;=P3End,"Q3","Q4")))))</f>
        <v/>
      </c>
    </row>
    <row r="510">
      <c r="A510" s="17" t="n"/>
      <c r="D510" s="20" t="n"/>
      <c r="E510" s="19">
        <f>IF(A510="","",IF(OR(A510&lt;YearStart,A510&gt;YearEnd),"-",IF(A510&lt;=P1End,"Q1",IF(A510&lt;=P2End,"Q2",IF(A510&lt;=P3End,"Q3","Q4")))))</f>
        <v/>
      </c>
    </row>
    <row r="511">
      <c r="A511" s="17" t="n"/>
      <c r="D511" s="20" t="n"/>
      <c r="E511" s="19">
        <f>IF(A511="","",IF(OR(A511&lt;YearStart,A511&gt;YearEnd),"-",IF(A511&lt;=P1End,"Q1",IF(A511&lt;=P2End,"Q2",IF(A511&lt;=P3End,"Q3","Q4")))))</f>
        <v/>
      </c>
    </row>
    <row r="512">
      <c r="A512" s="17" t="n"/>
      <c r="D512" s="20" t="n"/>
      <c r="E512" s="19">
        <f>IF(A512="","",IF(OR(A512&lt;YearStart,A512&gt;YearEnd),"-",IF(A512&lt;=P1End,"Q1",IF(A512&lt;=P2End,"Q2",IF(A512&lt;=P3End,"Q3","Q4")))))</f>
        <v/>
      </c>
    </row>
    <row r="513">
      <c r="A513" s="17" t="n"/>
      <c r="D513" s="20" t="n"/>
      <c r="E513" s="19">
        <f>IF(A513="","",IF(OR(A513&lt;YearStart,A513&gt;YearEnd),"-",IF(A513&lt;=P1End,"Q1",IF(A513&lt;=P2End,"Q2",IF(A513&lt;=P3End,"Q3","Q4")))))</f>
        <v/>
      </c>
    </row>
    <row r="514">
      <c r="A514" s="17" t="n"/>
      <c r="D514" s="20" t="n"/>
      <c r="E514" s="19">
        <f>IF(A514="","",IF(OR(A514&lt;YearStart,A514&gt;YearEnd),"-",IF(A514&lt;=P1End,"Q1",IF(A514&lt;=P2End,"Q2",IF(A514&lt;=P3End,"Q3","Q4")))))</f>
        <v/>
      </c>
    </row>
    <row r="515">
      <c r="A515" s="17" t="n"/>
      <c r="D515" s="20" t="n"/>
      <c r="E515" s="19">
        <f>IF(A515="","",IF(OR(A515&lt;YearStart,A515&gt;YearEnd),"-",IF(A515&lt;=P1End,"Q1",IF(A515&lt;=P2End,"Q2",IF(A515&lt;=P3End,"Q3","Q4")))))</f>
        <v/>
      </c>
    </row>
    <row r="516">
      <c r="A516" s="17" t="n"/>
      <c r="D516" s="20" t="n"/>
      <c r="E516" s="19">
        <f>IF(A516="","",IF(OR(A516&lt;YearStart,A516&gt;YearEnd),"-",IF(A516&lt;=P1End,"Q1",IF(A516&lt;=P2End,"Q2",IF(A516&lt;=P3End,"Q3","Q4")))))</f>
        <v/>
      </c>
    </row>
    <row r="517">
      <c r="A517" s="17" t="n"/>
      <c r="D517" s="20" t="n"/>
      <c r="E517" s="19">
        <f>IF(A517="","",IF(OR(A517&lt;YearStart,A517&gt;YearEnd),"-",IF(A517&lt;=P1End,"Q1",IF(A517&lt;=P2End,"Q2",IF(A517&lt;=P3End,"Q3","Q4")))))</f>
        <v/>
      </c>
    </row>
    <row r="518">
      <c r="A518" s="17" t="n"/>
      <c r="D518" s="20" t="n"/>
      <c r="E518" s="19">
        <f>IF(A518="","",IF(OR(A518&lt;YearStart,A518&gt;YearEnd),"-",IF(A518&lt;=P1End,"Q1",IF(A518&lt;=P2End,"Q2",IF(A518&lt;=P3End,"Q3","Q4")))))</f>
        <v/>
      </c>
    </row>
    <row r="519">
      <c r="A519" s="17" t="n"/>
      <c r="D519" s="20" t="n"/>
      <c r="E519" s="19">
        <f>IF(A519="","",IF(OR(A519&lt;YearStart,A519&gt;YearEnd),"-",IF(A519&lt;=P1End,"Q1",IF(A519&lt;=P2End,"Q2",IF(A519&lt;=P3End,"Q3","Q4")))))</f>
        <v/>
      </c>
    </row>
    <row r="520">
      <c r="A520" s="17" t="n"/>
      <c r="D520" s="20" t="n"/>
      <c r="E520" s="19">
        <f>IF(A520="","",IF(OR(A520&lt;YearStart,A520&gt;YearEnd),"-",IF(A520&lt;=P1End,"Q1",IF(A520&lt;=P2End,"Q2",IF(A520&lt;=P3End,"Q3","Q4")))))</f>
        <v/>
      </c>
    </row>
    <row r="521">
      <c r="A521" s="17" t="n"/>
      <c r="D521" s="20" t="n"/>
      <c r="E521" s="19">
        <f>IF(A521="","",IF(OR(A521&lt;YearStart,A521&gt;YearEnd),"-",IF(A521&lt;=P1End,"Q1",IF(A521&lt;=P2End,"Q2",IF(A521&lt;=P3End,"Q3","Q4")))))</f>
        <v/>
      </c>
    </row>
    <row r="522">
      <c r="A522" s="17" t="n"/>
      <c r="D522" s="20" t="n"/>
      <c r="E522" s="19">
        <f>IF(A522="","",IF(OR(A522&lt;YearStart,A522&gt;YearEnd),"-",IF(A522&lt;=P1End,"Q1",IF(A522&lt;=P2End,"Q2",IF(A522&lt;=P3End,"Q3","Q4")))))</f>
        <v/>
      </c>
    </row>
    <row r="523">
      <c r="A523" s="17" t="n"/>
      <c r="D523" s="20" t="n"/>
      <c r="E523" s="19">
        <f>IF(A523="","",IF(OR(A523&lt;YearStart,A523&gt;YearEnd),"-",IF(A523&lt;=P1End,"Q1",IF(A523&lt;=P2End,"Q2",IF(A523&lt;=P3End,"Q3","Q4")))))</f>
        <v/>
      </c>
    </row>
    <row r="524">
      <c r="A524" s="17" t="n"/>
      <c r="D524" s="20" t="n"/>
      <c r="E524" s="19">
        <f>IF(A524="","",IF(OR(A524&lt;YearStart,A524&gt;YearEnd),"-",IF(A524&lt;=P1End,"Q1",IF(A524&lt;=P2End,"Q2",IF(A524&lt;=P3End,"Q3","Q4")))))</f>
        <v/>
      </c>
    </row>
    <row r="525">
      <c r="A525" s="17" t="n"/>
      <c r="D525" s="20" t="n"/>
      <c r="E525" s="19">
        <f>IF(A525="","",IF(OR(A525&lt;YearStart,A525&gt;YearEnd),"-",IF(A525&lt;=P1End,"Q1",IF(A525&lt;=P2End,"Q2",IF(A525&lt;=P3End,"Q3","Q4")))))</f>
        <v/>
      </c>
    </row>
    <row r="526">
      <c r="A526" s="17" t="n"/>
      <c r="D526" s="20" t="n"/>
      <c r="E526" s="19">
        <f>IF(A526="","",IF(OR(A526&lt;YearStart,A526&gt;YearEnd),"-",IF(A526&lt;=P1End,"Q1",IF(A526&lt;=P2End,"Q2",IF(A526&lt;=P3End,"Q3","Q4")))))</f>
        <v/>
      </c>
    </row>
    <row r="527">
      <c r="A527" s="17" t="n"/>
      <c r="D527" s="20" t="n"/>
      <c r="E527" s="19">
        <f>IF(A527="","",IF(OR(A527&lt;YearStart,A527&gt;YearEnd),"-",IF(A527&lt;=P1End,"Q1",IF(A527&lt;=P2End,"Q2",IF(A527&lt;=P3End,"Q3","Q4")))))</f>
        <v/>
      </c>
    </row>
    <row r="528">
      <c r="A528" s="17" t="n"/>
      <c r="D528" s="20" t="n"/>
      <c r="E528" s="19">
        <f>IF(A528="","",IF(OR(A528&lt;YearStart,A528&gt;YearEnd),"-",IF(A528&lt;=P1End,"Q1",IF(A528&lt;=P2End,"Q2",IF(A528&lt;=P3End,"Q3","Q4")))))</f>
        <v/>
      </c>
    </row>
    <row r="529">
      <c r="A529" s="17" t="n"/>
      <c r="D529" s="20" t="n"/>
      <c r="E529" s="19">
        <f>IF(A529="","",IF(OR(A529&lt;YearStart,A529&gt;YearEnd),"-",IF(A529&lt;=P1End,"Q1",IF(A529&lt;=P2End,"Q2",IF(A529&lt;=P3End,"Q3","Q4")))))</f>
        <v/>
      </c>
    </row>
    <row r="530">
      <c r="A530" s="17" t="n"/>
      <c r="D530" s="20" t="n"/>
      <c r="E530" s="19">
        <f>IF(A530="","",IF(OR(A530&lt;YearStart,A530&gt;YearEnd),"-",IF(A530&lt;=P1End,"Q1",IF(A530&lt;=P2End,"Q2",IF(A530&lt;=P3End,"Q3","Q4")))))</f>
        <v/>
      </c>
    </row>
    <row r="531">
      <c r="A531" s="17" t="n"/>
      <c r="D531" s="20" t="n"/>
      <c r="E531" s="19">
        <f>IF(A531="","",IF(OR(A531&lt;YearStart,A531&gt;YearEnd),"-",IF(A531&lt;=P1End,"Q1",IF(A531&lt;=P2End,"Q2",IF(A531&lt;=P3End,"Q3","Q4")))))</f>
        <v/>
      </c>
    </row>
    <row r="532">
      <c r="A532" s="17" t="n"/>
      <c r="D532" s="20" t="n"/>
      <c r="E532" s="19">
        <f>IF(A532="","",IF(OR(A532&lt;YearStart,A532&gt;YearEnd),"-",IF(A532&lt;=P1End,"Q1",IF(A532&lt;=P2End,"Q2",IF(A532&lt;=P3End,"Q3","Q4")))))</f>
        <v/>
      </c>
    </row>
    <row r="533">
      <c r="A533" s="17" t="n"/>
      <c r="D533" s="20" t="n"/>
      <c r="E533" s="19">
        <f>IF(A533="","",IF(OR(A533&lt;YearStart,A533&gt;YearEnd),"-",IF(A533&lt;=P1End,"Q1",IF(A533&lt;=P2End,"Q2",IF(A533&lt;=P3End,"Q3","Q4")))))</f>
        <v/>
      </c>
    </row>
    <row r="534">
      <c r="A534" s="17" t="n"/>
      <c r="D534" s="20" t="n"/>
      <c r="E534" s="19">
        <f>IF(A534="","",IF(OR(A534&lt;YearStart,A534&gt;YearEnd),"-",IF(A534&lt;=P1End,"Q1",IF(A534&lt;=P2End,"Q2",IF(A534&lt;=P3End,"Q3","Q4")))))</f>
        <v/>
      </c>
    </row>
    <row r="535">
      <c r="A535" s="17" t="n"/>
      <c r="D535" s="20" t="n"/>
      <c r="E535" s="19">
        <f>IF(A535="","",IF(OR(A535&lt;YearStart,A535&gt;YearEnd),"-",IF(A535&lt;=P1End,"Q1",IF(A535&lt;=P2End,"Q2",IF(A535&lt;=P3End,"Q3","Q4")))))</f>
        <v/>
      </c>
    </row>
    <row r="536">
      <c r="A536" s="17" t="n"/>
      <c r="D536" s="20" t="n"/>
      <c r="E536" s="19">
        <f>IF(A536="","",IF(OR(A536&lt;YearStart,A536&gt;YearEnd),"-",IF(A536&lt;=P1End,"Q1",IF(A536&lt;=P2End,"Q2",IF(A536&lt;=P3End,"Q3","Q4")))))</f>
        <v/>
      </c>
    </row>
    <row r="537">
      <c r="A537" s="17" t="n"/>
      <c r="D537" s="20" t="n"/>
      <c r="E537" s="19">
        <f>IF(A537="","",IF(OR(A537&lt;YearStart,A537&gt;YearEnd),"-",IF(A537&lt;=P1End,"Q1",IF(A537&lt;=P2End,"Q2",IF(A537&lt;=P3End,"Q3","Q4")))))</f>
        <v/>
      </c>
    </row>
    <row r="538">
      <c r="A538" s="17" t="n"/>
      <c r="D538" s="20" t="n"/>
      <c r="E538" s="19">
        <f>IF(A538="","",IF(OR(A538&lt;YearStart,A538&gt;YearEnd),"-",IF(A538&lt;=P1End,"Q1",IF(A538&lt;=P2End,"Q2",IF(A538&lt;=P3End,"Q3","Q4")))))</f>
        <v/>
      </c>
    </row>
    <row r="539">
      <c r="A539" s="17" t="n"/>
      <c r="D539" s="20" t="n"/>
      <c r="E539" s="19">
        <f>IF(A539="","",IF(OR(A539&lt;YearStart,A539&gt;YearEnd),"-",IF(A539&lt;=P1End,"Q1",IF(A539&lt;=P2End,"Q2",IF(A539&lt;=P3End,"Q3","Q4")))))</f>
        <v/>
      </c>
    </row>
    <row r="540">
      <c r="A540" s="17" t="n"/>
      <c r="D540" s="20" t="n"/>
      <c r="E540" s="19">
        <f>IF(A540="","",IF(OR(A540&lt;YearStart,A540&gt;YearEnd),"-",IF(A540&lt;=P1End,"Q1",IF(A540&lt;=P2End,"Q2",IF(A540&lt;=P3End,"Q3","Q4")))))</f>
        <v/>
      </c>
    </row>
    <row r="541">
      <c r="A541" s="17" t="n"/>
      <c r="D541" s="20" t="n"/>
      <c r="E541" s="19">
        <f>IF(A541="","",IF(OR(A541&lt;YearStart,A541&gt;YearEnd),"-",IF(A541&lt;=P1End,"Q1",IF(A541&lt;=P2End,"Q2",IF(A541&lt;=P3End,"Q3","Q4")))))</f>
        <v/>
      </c>
    </row>
    <row r="542">
      <c r="A542" s="17" t="n"/>
      <c r="D542" s="20" t="n"/>
      <c r="E542" s="19">
        <f>IF(A542="","",IF(OR(A542&lt;YearStart,A542&gt;YearEnd),"-",IF(A542&lt;=P1End,"Q1",IF(A542&lt;=P2End,"Q2",IF(A542&lt;=P3End,"Q3","Q4")))))</f>
        <v/>
      </c>
    </row>
    <row r="543">
      <c r="A543" s="17" t="n"/>
      <c r="D543" s="20" t="n"/>
      <c r="E543" s="19">
        <f>IF(A543="","",IF(OR(A543&lt;YearStart,A543&gt;YearEnd),"-",IF(A543&lt;=P1End,"Q1",IF(A543&lt;=P2End,"Q2",IF(A543&lt;=P3End,"Q3","Q4")))))</f>
        <v/>
      </c>
    </row>
    <row r="544">
      <c r="A544" s="17" t="n"/>
      <c r="D544" s="20" t="n"/>
      <c r="E544" s="19">
        <f>IF(A544="","",IF(OR(A544&lt;YearStart,A544&gt;YearEnd),"-",IF(A544&lt;=P1End,"Q1",IF(A544&lt;=P2End,"Q2",IF(A544&lt;=P3End,"Q3","Q4")))))</f>
        <v/>
      </c>
    </row>
    <row r="545">
      <c r="A545" s="17" t="n"/>
      <c r="D545" s="20" t="n"/>
      <c r="E545" s="19">
        <f>IF(A545="","",IF(OR(A545&lt;YearStart,A545&gt;YearEnd),"-",IF(A545&lt;=P1End,"Q1",IF(A545&lt;=P2End,"Q2",IF(A545&lt;=P3End,"Q3","Q4")))))</f>
        <v/>
      </c>
    </row>
    <row r="546">
      <c r="A546" s="17" t="n"/>
      <c r="D546" s="20" t="n"/>
      <c r="E546" s="19">
        <f>IF(A546="","",IF(OR(A546&lt;YearStart,A546&gt;YearEnd),"-",IF(A546&lt;=P1End,"Q1",IF(A546&lt;=P2End,"Q2",IF(A546&lt;=P3End,"Q3","Q4")))))</f>
        <v/>
      </c>
    </row>
    <row r="547">
      <c r="A547" s="17" t="n"/>
      <c r="D547" s="20" t="n"/>
      <c r="E547" s="19">
        <f>IF(A547="","",IF(OR(A547&lt;YearStart,A547&gt;YearEnd),"-",IF(A547&lt;=P1End,"Q1",IF(A547&lt;=P2End,"Q2",IF(A547&lt;=P3End,"Q3","Q4")))))</f>
        <v/>
      </c>
    </row>
    <row r="548">
      <c r="A548" s="17" t="n"/>
      <c r="D548" s="20" t="n"/>
      <c r="E548" s="19">
        <f>IF(A548="","",IF(OR(A548&lt;YearStart,A548&gt;YearEnd),"-",IF(A548&lt;=P1End,"Q1",IF(A548&lt;=P2End,"Q2",IF(A548&lt;=P3End,"Q3","Q4")))))</f>
        <v/>
      </c>
    </row>
    <row r="549">
      <c r="A549" s="17" t="n"/>
      <c r="D549" s="20" t="n"/>
      <c r="E549" s="19">
        <f>IF(A549="","",IF(OR(A549&lt;YearStart,A549&gt;YearEnd),"-",IF(A549&lt;=P1End,"Q1",IF(A549&lt;=P2End,"Q2",IF(A549&lt;=P3End,"Q3","Q4")))))</f>
        <v/>
      </c>
    </row>
    <row r="550">
      <c r="A550" s="17" t="n"/>
      <c r="D550" s="20" t="n"/>
      <c r="E550" s="19">
        <f>IF(A550="","",IF(OR(A550&lt;YearStart,A550&gt;YearEnd),"-",IF(A550&lt;=P1End,"Q1",IF(A550&lt;=P2End,"Q2",IF(A550&lt;=P3End,"Q3","Q4")))))</f>
        <v/>
      </c>
    </row>
    <row r="551">
      <c r="A551" s="17" t="n"/>
      <c r="D551" s="20" t="n"/>
      <c r="E551" s="19">
        <f>IF(A551="","",IF(OR(A551&lt;YearStart,A551&gt;YearEnd),"-",IF(A551&lt;=P1End,"Q1",IF(A551&lt;=P2End,"Q2",IF(A551&lt;=P3End,"Q3","Q4")))))</f>
        <v/>
      </c>
    </row>
    <row r="552">
      <c r="A552" s="17" t="n"/>
      <c r="D552" s="20" t="n"/>
      <c r="E552" s="19">
        <f>IF(A552="","",IF(OR(A552&lt;YearStart,A552&gt;YearEnd),"-",IF(A552&lt;=P1End,"Q1",IF(A552&lt;=P2End,"Q2",IF(A552&lt;=P3End,"Q3","Q4")))))</f>
        <v/>
      </c>
    </row>
    <row r="553">
      <c r="A553" s="17" t="n"/>
      <c r="D553" s="20" t="n"/>
      <c r="E553" s="19">
        <f>IF(A553="","",IF(OR(A553&lt;YearStart,A553&gt;YearEnd),"-",IF(A553&lt;=P1End,"Q1",IF(A553&lt;=P2End,"Q2",IF(A553&lt;=P3End,"Q3","Q4")))))</f>
        <v/>
      </c>
    </row>
    <row r="554">
      <c r="A554" s="17" t="n"/>
      <c r="D554" s="20" t="n"/>
      <c r="E554" s="19">
        <f>IF(A554="","",IF(OR(A554&lt;YearStart,A554&gt;YearEnd),"-",IF(A554&lt;=P1End,"Q1",IF(A554&lt;=P2End,"Q2",IF(A554&lt;=P3End,"Q3","Q4")))))</f>
        <v/>
      </c>
    </row>
    <row r="555">
      <c r="A555" s="17" t="n"/>
      <c r="D555" s="20" t="n"/>
      <c r="E555" s="19">
        <f>IF(A555="","",IF(OR(A555&lt;YearStart,A555&gt;YearEnd),"-",IF(A555&lt;=P1End,"Q1",IF(A555&lt;=P2End,"Q2",IF(A555&lt;=P3End,"Q3","Q4")))))</f>
        <v/>
      </c>
    </row>
    <row r="556">
      <c r="A556" s="17" t="n"/>
      <c r="D556" s="20" t="n"/>
      <c r="E556" s="19">
        <f>IF(A556="","",IF(OR(A556&lt;YearStart,A556&gt;YearEnd),"-",IF(A556&lt;=P1End,"Q1",IF(A556&lt;=P2End,"Q2",IF(A556&lt;=P3End,"Q3","Q4")))))</f>
        <v/>
      </c>
    </row>
    <row r="557">
      <c r="A557" s="17" t="n"/>
      <c r="D557" s="20" t="n"/>
      <c r="E557" s="19">
        <f>IF(A557="","",IF(OR(A557&lt;YearStart,A557&gt;YearEnd),"-",IF(A557&lt;=P1End,"Q1",IF(A557&lt;=P2End,"Q2",IF(A557&lt;=P3End,"Q3","Q4")))))</f>
        <v/>
      </c>
    </row>
    <row r="558">
      <c r="A558" s="17" t="n"/>
      <c r="D558" s="20" t="n"/>
      <c r="E558" s="19">
        <f>IF(A558="","",IF(OR(A558&lt;YearStart,A558&gt;YearEnd),"-",IF(A558&lt;=P1End,"Q1",IF(A558&lt;=P2End,"Q2",IF(A558&lt;=P3End,"Q3","Q4")))))</f>
        <v/>
      </c>
    </row>
    <row r="559">
      <c r="A559" s="17" t="n"/>
      <c r="D559" s="20" t="n"/>
      <c r="E559" s="19">
        <f>IF(A559="","",IF(OR(A559&lt;YearStart,A559&gt;YearEnd),"-",IF(A559&lt;=P1End,"Q1",IF(A559&lt;=P2End,"Q2",IF(A559&lt;=P3End,"Q3","Q4")))))</f>
        <v/>
      </c>
    </row>
    <row r="560">
      <c r="A560" s="17" t="n"/>
      <c r="D560" s="20" t="n"/>
      <c r="E560" s="19">
        <f>IF(A560="","",IF(OR(A560&lt;YearStart,A560&gt;YearEnd),"-",IF(A560&lt;=P1End,"Q1",IF(A560&lt;=P2End,"Q2",IF(A560&lt;=P3End,"Q3","Q4")))))</f>
        <v/>
      </c>
    </row>
    <row r="561">
      <c r="A561" s="17" t="n"/>
      <c r="D561" s="20" t="n"/>
      <c r="E561" s="19">
        <f>IF(A561="","",IF(OR(A561&lt;YearStart,A561&gt;YearEnd),"-",IF(A561&lt;=P1End,"Q1",IF(A561&lt;=P2End,"Q2",IF(A561&lt;=P3End,"Q3","Q4")))))</f>
        <v/>
      </c>
    </row>
    <row r="562">
      <c r="A562" s="17" t="n"/>
      <c r="D562" s="20" t="n"/>
      <c r="E562" s="19">
        <f>IF(A562="","",IF(OR(A562&lt;YearStart,A562&gt;YearEnd),"-",IF(A562&lt;=P1End,"Q1",IF(A562&lt;=P2End,"Q2",IF(A562&lt;=P3End,"Q3","Q4")))))</f>
        <v/>
      </c>
    </row>
    <row r="563">
      <c r="A563" s="17" t="n"/>
      <c r="D563" s="20" t="n"/>
      <c r="E563" s="19">
        <f>IF(A563="","",IF(OR(A563&lt;YearStart,A563&gt;YearEnd),"-",IF(A563&lt;=P1End,"Q1",IF(A563&lt;=P2End,"Q2",IF(A563&lt;=P3End,"Q3","Q4")))))</f>
        <v/>
      </c>
    </row>
    <row r="564">
      <c r="A564" s="17" t="n"/>
      <c r="D564" s="20" t="n"/>
      <c r="E564" s="19">
        <f>IF(A564="","",IF(OR(A564&lt;YearStart,A564&gt;YearEnd),"-",IF(A564&lt;=P1End,"Q1",IF(A564&lt;=P2End,"Q2",IF(A564&lt;=P3End,"Q3","Q4")))))</f>
        <v/>
      </c>
    </row>
    <row r="565">
      <c r="A565" s="17" t="n"/>
      <c r="D565" s="20" t="n"/>
      <c r="E565" s="19">
        <f>IF(A565="","",IF(OR(A565&lt;YearStart,A565&gt;YearEnd),"-",IF(A565&lt;=P1End,"Q1",IF(A565&lt;=P2End,"Q2",IF(A565&lt;=P3End,"Q3","Q4")))))</f>
        <v/>
      </c>
    </row>
    <row r="566">
      <c r="A566" s="17" t="n"/>
      <c r="D566" s="20" t="n"/>
      <c r="E566" s="19">
        <f>IF(A566="","",IF(OR(A566&lt;YearStart,A566&gt;YearEnd),"-",IF(A566&lt;=P1End,"Q1",IF(A566&lt;=P2End,"Q2",IF(A566&lt;=P3End,"Q3","Q4")))))</f>
        <v/>
      </c>
    </row>
    <row r="567">
      <c r="A567" s="17" t="n"/>
      <c r="D567" s="20" t="n"/>
      <c r="E567" s="19">
        <f>IF(A567="","",IF(OR(A567&lt;YearStart,A567&gt;YearEnd),"-",IF(A567&lt;=P1End,"Q1",IF(A567&lt;=P2End,"Q2",IF(A567&lt;=P3End,"Q3","Q4")))))</f>
        <v/>
      </c>
    </row>
    <row r="568">
      <c r="A568" s="17" t="n"/>
      <c r="D568" s="20" t="n"/>
      <c r="E568" s="19">
        <f>IF(A568="","",IF(OR(A568&lt;YearStart,A568&gt;YearEnd),"-",IF(A568&lt;=P1End,"Q1",IF(A568&lt;=P2End,"Q2",IF(A568&lt;=P3End,"Q3","Q4")))))</f>
        <v/>
      </c>
    </row>
    <row r="569">
      <c r="A569" s="17" t="n"/>
      <c r="D569" s="20" t="n"/>
      <c r="E569" s="19">
        <f>IF(A569="","",IF(OR(A569&lt;YearStart,A569&gt;YearEnd),"-",IF(A569&lt;=P1End,"Q1",IF(A569&lt;=P2End,"Q2",IF(A569&lt;=P3End,"Q3","Q4")))))</f>
        <v/>
      </c>
    </row>
    <row r="570">
      <c r="A570" s="17" t="n"/>
      <c r="D570" s="20" t="n"/>
      <c r="E570" s="19">
        <f>IF(A570="","",IF(OR(A570&lt;YearStart,A570&gt;YearEnd),"-",IF(A570&lt;=P1End,"Q1",IF(A570&lt;=P2End,"Q2",IF(A570&lt;=P3End,"Q3","Q4")))))</f>
        <v/>
      </c>
    </row>
    <row r="571">
      <c r="A571" s="17" t="n"/>
      <c r="D571" s="20" t="n"/>
      <c r="E571" s="19">
        <f>IF(A571="","",IF(OR(A571&lt;YearStart,A571&gt;YearEnd),"-",IF(A571&lt;=P1End,"Q1",IF(A571&lt;=P2End,"Q2",IF(A571&lt;=P3End,"Q3","Q4")))))</f>
        <v/>
      </c>
    </row>
    <row r="572">
      <c r="A572" s="17" t="n"/>
      <c r="D572" s="20" t="n"/>
      <c r="E572" s="19">
        <f>IF(A572="","",IF(OR(A572&lt;YearStart,A572&gt;YearEnd),"-",IF(A572&lt;=P1End,"Q1",IF(A572&lt;=P2End,"Q2",IF(A572&lt;=P3End,"Q3","Q4")))))</f>
        <v/>
      </c>
    </row>
    <row r="573">
      <c r="A573" s="17" t="n"/>
      <c r="D573" s="20" t="n"/>
      <c r="E573" s="19">
        <f>IF(A573="","",IF(OR(A573&lt;YearStart,A573&gt;YearEnd),"-",IF(A573&lt;=P1End,"Q1",IF(A573&lt;=P2End,"Q2",IF(A573&lt;=P3End,"Q3","Q4")))))</f>
        <v/>
      </c>
    </row>
    <row r="574">
      <c r="A574" s="17" t="n"/>
      <c r="D574" s="20" t="n"/>
      <c r="E574" s="19">
        <f>IF(A574="","",IF(OR(A574&lt;YearStart,A574&gt;YearEnd),"-",IF(A574&lt;=P1End,"Q1",IF(A574&lt;=P2End,"Q2",IF(A574&lt;=P3End,"Q3","Q4")))))</f>
        <v/>
      </c>
    </row>
    <row r="575">
      <c r="A575" s="17" t="n"/>
      <c r="D575" s="20" t="n"/>
      <c r="E575" s="19">
        <f>IF(A575="","",IF(OR(A575&lt;YearStart,A575&gt;YearEnd),"-",IF(A575&lt;=P1End,"Q1",IF(A575&lt;=P2End,"Q2",IF(A575&lt;=P3End,"Q3","Q4")))))</f>
        <v/>
      </c>
    </row>
    <row r="576">
      <c r="A576" s="17" t="n"/>
      <c r="D576" s="20" t="n"/>
      <c r="E576" s="19">
        <f>IF(A576="","",IF(OR(A576&lt;YearStart,A576&gt;YearEnd),"-",IF(A576&lt;=P1End,"Q1",IF(A576&lt;=P2End,"Q2",IF(A576&lt;=P3End,"Q3","Q4")))))</f>
        <v/>
      </c>
    </row>
    <row r="577">
      <c r="A577" s="17" t="n"/>
      <c r="D577" s="20" t="n"/>
      <c r="E577" s="19">
        <f>IF(A577="","",IF(OR(A577&lt;YearStart,A577&gt;YearEnd),"-",IF(A577&lt;=P1End,"Q1",IF(A577&lt;=P2End,"Q2",IF(A577&lt;=P3End,"Q3","Q4")))))</f>
        <v/>
      </c>
    </row>
    <row r="578">
      <c r="A578" s="17" t="n"/>
      <c r="D578" s="20" t="n"/>
      <c r="E578" s="19">
        <f>IF(A578="","",IF(OR(A578&lt;YearStart,A578&gt;YearEnd),"-",IF(A578&lt;=P1End,"Q1",IF(A578&lt;=P2End,"Q2",IF(A578&lt;=P3End,"Q3","Q4")))))</f>
        <v/>
      </c>
    </row>
    <row r="579">
      <c r="A579" s="17" t="n"/>
      <c r="D579" s="20" t="n"/>
      <c r="E579" s="19">
        <f>IF(A579="","",IF(OR(A579&lt;YearStart,A579&gt;YearEnd),"-",IF(A579&lt;=P1End,"Q1",IF(A579&lt;=P2End,"Q2",IF(A579&lt;=P3End,"Q3","Q4")))))</f>
        <v/>
      </c>
    </row>
    <row r="580">
      <c r="A580" s="17" t="n"/>
      <c r="D580" s="20" t="n"/>
      <c r="E580" s="19">
        <f>IF(A580="","",IF(OR(A580&lt;YearStart,A580&gt;YearEnd),"-",IF(A580&lt;=P1End,"Q1",IF(A580&lt;=P2End,"Q2",IF(A580&lt;=P3End,"Q3","Q4")))))</f>
        <v/>
      </c>
    </row>
    <row r="581">
      <c r="A581" s="17" t="n"/>
      <c r="D581" s="20" t="n"/>
      <c r="E581" s="19">
        <f>IF(A581="","",IF(OR(A581&lt;YearStart,A581&gt;YearEnd),"-",IF(A581&lt;=P1End,"Q1",IF(A581&lt;=P2End,"Q2",IF(A581&lt;=P3End,"Q3","Q4")))))</f>
        <v/>
      </c>
    </row>
    <row r="582">
      <c r="A582" s="17" t="n"/>
      <c r="D582" s="20" t="n"/>
      <c r="E582" s="19">
        <f>IF(A582="","",IF(OR(A582&lt;YearStart,A582&gt;YearEnd),"-",IF(A582&lt;=P1End,"Q1",IF(A582&lt;=P2End,"Q2",IF(A582&lt;=P3End,"Q3","Q4")))))</f>
        <v/>
      </c>
    </row>
    <row r="583">
      <c r="A583" s="17" t="n"/>
      <c r="D583" s="20" t="n"/>
      <c r="E583" s="19">
        <f>IF(A583="","",IF(OR(A583&lt;YearStart,A583&gt;YearEnd),"-",IF(A583&lt;=P1End,"Q1",IF(A583&lt;=P2End,"Q2",IF(A583&lt;=P3End,"Q3","Q4")))))</f>
        <v/>
      </c>
    </row>
    <row r="584">
      <c r="A584" s="17" t="n"/>
      <c r="D584" s="20" t="n"/>
      <c r="E584" s="19">
        <f>IF(A584="","",IF(OR(A584&lt;YearStart,A584&gt;YearEnd),"-",IF(A584&lt;=P1End,"Q1",IF(A584&lt;=P2End,"Q2",IF(A584&lt;=P3End,"Q3","Q4")))))</f>
        <v/>
      </c>
    </row>
    <row r="585">
      <c r="A585" s="17" t="n"/>
      <c r="D585" s="20" t="n"/>
      <c r="E585" s="19">
        <f>IF(A585="","",IF(OR(A585&lt;YearStart,A585&gt;YearEnd),"-",IF(A585&lt;=P1End,"Q1",IF(A585&lt;=P2End,"Q2",IF(A585&lt;=P3End,"Q3","Q4")))))</f>
        <v/>
      </c>
    </row>
    <row r="586">
      <c r="A586" s="17" t="n"/>
      <c r="D586" s="20" t="n"/>
      <c r="E586" s="19">
        <f>IF(A586="","",IF(OR(A586&lt;YearStart,A586&gt;YearEnd),"-",IF(A586&lt;=P1End,"Q1",IF(A586&lt;=P2End,"Q2",IF(A586&lt;=P3End,"Q3","Q4")))))</f>
        <v/>
      </c>
    </row>
    <row r="587">
      <c r="A587" s="17" t="n"/>
      <c r="D587" s="20" t="n"/>
      <c r="E587" s="19">
        <f>IF(A587="","",IF(OR(A587&lt;YearStart,A587&gt;YearEnd),"-",IF(A587&lt;=P1End,"Q1",IF(A587&lt;=P2End,"Q2",IF(A587&lt;=P3End,"Q3","Q4")))))</f>
        <v/>
      </c>
    </row>
    <row r="588">
      <c r="A588" s="17" t="n"/>
      <c r="D588" s="20" t="n"/>
      <c r="E588" s="19">
        <f>IF(A588="","",IF(OR(A588&lt;YearStart,A588&gt;YearEnd),"-",IF(A588&lt;=P1End,"Q1",IF(A588&lt;=P2End,"Q2",IF(A588&lt;=P3End,"Q3","Q4")))))</f>
        <v/>
      </c>
    </row>
    <row r="589">
      <c r="A589" s="17" t="n"/>
      <c r="D589" s="20" t="n"/>
      <c r="E589" s="19">
        <f>IF(A589="","",IF(OR(A589&lt;YearStart,A589&gt;YearEnd),"-",IF(A589&lt;=P1End,"Q1",IF(A589&lt;=P2End,"Q2",IF(A589&lt;=P3End,"Q3","Q4")))))</f>
        <v/>
      </c>
    </row>
    <row r="590">
      <c r="A590" s="17" t="n"/>
      <c r="D590" s="20" t="n"/>
      <c r="E590" s="19">
        <f>IF(A590="","",IF(OR(A590&lt;YearStart,A590&gt;YearEnd),"-",IF(A590&lt;=P1End,"Q1",IF(A590&lt;=P2End,"Q2",IF(A590&lt;=P3End,"Q3","Q4")))))</f>
        <v/>
      </c>
    </row>
    <row r="591">
      <c r="A591" s="17" t="n"/>
      <c r="D591" s="20" t="n"/>
      <c r="E591" s="19">
        <f>IF(A591="","",IF(OR(A591&lt;YearStart,A591&gt;YearEnd),"-",IF(A591&lt;=P1End,"Q1",IF(A591&lt;=P2End,"Q2",IF(A591&lt;=P3End,"Q3","Q4")))))</f>
        <v/>
      </c>
    </row>
    <row r="592">
      <c r="A592" s="17" t="n"/>
      <c r="D592" s="20" t="n"/>
      <c r="E592" s="19">
        <f>IF(A592="","",IF(OR(A592&lt;YearStart,A592&gt;YearEnd),"-",IF(A592&lt;=P1End,"Q1",IF(A592&lt;=P2End,"Q2",IF(A592&lt;=P3End,"Q3","Q4")))))</f>
        <v/>
      </c>
    </row>
    <row r="593">
      <c r="A593" s="17" t="n"/>
      <c r="D593" s="20" t="n"/>
      <c r="E593" s="19">
        <f>IF(A593="","",IF(OR(A593&lt;YearStart,A593&gt;YearEnd),"-",IF(A593&lt;=P1End,"Q1",IF(A593&lt;=P2End,"Q2",IF(A593&lt;=P3End,"Q3","Q4")))))</f>
        <v/>
      </c>
    </row>
    <row r="594">
      <c r="A594" s="17" t="n"/>
      <c r="D594" s="20" t="n"/>
      <c r="E594" s="19">
        <f>IF(A594="","",IF(OR(A594&lt;YearStart,A594&gt;YearEnd),"-",IF(A594&lt;=P1End,"Q1",IF(A594&lt;=P2End,"Q2",IF(A594&lt;=P3End,"Q3","Q4")))))</f>
        <v/>
      </c>
    </row>
    <row r="595">
      <c r="A595" s="17" t="n"/>
      <c r="D595" s="20" t="n"/>
      <c r="E595" s="19">
        <f>IF(A595="","",IF(OR(A595&lt;YearStart,A595&gt;YearEnd),"-",IF(A595&lt;=P1End,"Q1",IF(A595&lt;=P2End,"Q2",IF(A595&lt;=P3End,"Q3","Q4")))))</f>
        <v/>
      </c>
    </row>
    <row r="596">
      <c r="A596" s="17" t="n"/>
      <c r="D596" s="20" t="n"/>
      <c r="E596" s="19">
        <f>IF(A596="","",IF(OR(A596&lt;YearStart,A596&gt;YearEnd),"-",IF(A596&lt;=P1End,"Q1",IF(A596&lt;=P2End,"Q2",IF(A596&lt;=P3End,"Q3","Q4")))))</f>
        <v/>
      </c>
    </row>
    <row r="597">
      <c r="A597" s="17" t="n"/>
      <c r="D597" s="20" t="n"/>
      <c r="E597" s="19">
        <f>IF(A597="","",IF(OR(A597&lt;YearStart,A597&gt;YearEnd),"-",IF(A597&lt;=P1End,"Q1",IF(A597&lt;=P2End,"Q2",IF(A597&lt;=P3End,"Q3","Q4")))))</f>
        <v/>
      </c>
    </row>
    <row r="598">
      <c r="A598" s="17" t="n"/>
      <c r="D598" s="20" t="n"/>
      <c r="E598" s="19">
        <f>IF(A598="","",IF(OR(A598&lt;YearStart,A598&gt;YearEnd),"-",IF(A598&lt;=P1End,"Q1",IF(A598&lt;=P2End,"Q2",IF(A598&lt;=P3End,"Q3","Q4")))))</f>
        <v/>
      </c>
    </row>
    <row r="599">
      <c r="A599" s="17" t="n"/>
      <c r="D599" s="20" t="n"/>
      <c r="E599" s="19">
        <f>IF(A599="","",IF(OR(A599&lt;YearStart,A599&gt;YearEnd),"-",IF(A599&lt;=P1End,"Q1",IF(A599&lt;=P2End,"Q2",IF(A599&lt;=P3End,"Q3","Q4")))))</f>
        <v/>
      </c>
    </row>
    <row r="600">
      <c r="A600" s="17" t="n"/>
      <c r="D600" s="20" t="n"/>
      <c r="E600" s="19">
        <f>IF(A600="","",IF(OR(A600&lt;YearStart,A600&gt;YearEnd),"-",IF(A600&lt;=P1End,"Q1",IF(A600&lt;=P2End,"Q2",IF(A600&lt;=P3End,"Q3","Q4")))))</f>
        <v/>
      </c>
    </row>
    <row r="601">
      <c r="A601" s="17" t="n"/>
      <c r="D601" s="20" t="n"/>
      <c r="E601" s="19">
        <f>IF(A601="","",IF(OR(A601&lt;YearStart,A601&gt;YearEnd),"-",IF(A601&lt;=P1End,"Q1",IF(A601&lt;=P2End,"Q2",IF(A601&lt;=P3End,"Q3","Q4")))))</f>
        <v/>
      </c>
    </row>
    <row r="602">
      <c r="A602" s="17" t="n"/>
      <c r="D602" s="20" t="n"/>
      <c r="E602" s="19">
        <f>IF(A602="","",IF(OR(A602&lt;YearStart,A602&gt;YearEnd),"-",IF(A602&lt;=P1End,"Q1",IF(A602&lt;=P2End,"Q2",IF(A602&lt;=P3End,"Q3","Q4")))))</f>
        <v/>
      </c>
    </row>
    <row r="603">
      <c r="A603" s="17" t="n"/>
      <c r="D603" s="20" t="n"/>
      <c r="E603" s="19">
        <f>IF(A603="","",IF(OR(A603&lt;YearStart,A603&gt;YearEnd),"-",IF(A603&lt;=P1End,"Q1",IF(A603&lt;=P2End,"Q2",IF(A603&lt;=P3End,"Q3","Q4")))))</f>
        <v/>
      </c>
    </row>
    <row r="604">
      <c r="A604" s="17" t="n"/>
      <c r="D604" s="20" t="n"/>
      <c r="E604" s="19">
        <f>IF(A604="","",IF(OR(A604&lt;YearStart,A604&gt;YearEnd),"-",IF(A604&lt;=P1End,"Q1",IF(A604&lt;=P2End,"Q2",IF(A604&lt;=P3End,"Q3","Q4")))))</f>
        <v/>
      </c>
    </row>
    <row r="605">
      <c r="A605" s="17" t="n"/>
      <c r="D605" s="20" t="n"/>
      <c r="E605" s="19">
        <f>IF(A605="","",IF(OR(A605&lt;YearStart,A605&gt;YearEnd),"-",IF(A605&lt;=P1End,"Q1",IF(A605&lt;=P2End,"Q2",IF(A605&lt;=P3End,"Q3","Q4")))))</f>
        <v/>
      </c>
    </row>
    <row r="606">
      <c r="A606" s="17" t="n"/>
      <c r="D606" s="20" t="n"/>
      <c r="E606" s="19">
        <f>IF(A606="","",IF(OR(A606&lt;YearStart,A606&gt;YearEnd),"-",IF(A606&lt;=P1End,"Q1",IF(A606&lt;=P2End,"Q2",IF(A606&lt;=P3End,"Q3","Q4")))))</f>
        <v/>
      </c>
    </row>
    <row r="607">
      <c r="A607" s="17" t="n"/>
      <c r="D607" s="20" t="n"/>
      <c r="E607" s="19">
        <f>IF(A607="","",IF(OR(A607&lt;YearStart,A607&gt;YearEnd),"-",IF(A607&lt;=P1End,"Q1",IF(A607&lt;=P2End,"Q2",IF(A607&lt;=P3End,"Q3","Q4")))))</f>
        <v/>
      </c>
    </row>
    <row r="608">
      <c r="A608" s="17" t="n"/>
      <c r="D608" s="20" t="n"/>
      <c r="E608" s="19">
        <f>IF(A608="","",IF(OR(A608&lt;YearStart,A608&gt;YearEnd),"-",IF(A608&lt;=P1End,"Q1",IF(A608&lt;=P2End,"Q2",IF(A608&lt;=P3End,"Q3","Q4")))))</f>
        <v/>
      </c>
    </row>
    <row r="609">
      <c r="A609" s="17" t="n"/>
      <c r="D609" s="20" t="n"/>
      <c r="E609" s="19">
        <f>IF(A609="","",IF(OR(A609&lt;YearStart,A609&gt;YearEnd),"-",IF(A609&lt;=P1End,"Q1",IF(A609&lt;=P2End,"Q2",IF(A609&lt;=P3End,"Q3","Q4")))))</f>
        <v/>
      </c>
    </row>
    <row r="610">
      <c r="A610" s="17" t="n"/>
      <c r="D610" s="20" t="n"/>
      <c r="E610" s="19">
        <f>IF(A610="","",IF(OR(A610&lt;YearStart,A610&gt;YearEnd),"-",IF(A610&lt;=P1End,"Q1",IF(A610&lt;=P2End,"Q2",IF(A610&lt;=P3End,"Q3","Q4")))))</f>
        <v/>
      </c>
    </row>
    <row r="611">
      <c r="A611" s="17" t="n"/>
      <c r="D611" s="20" t="n"/>
      <c r="E611" s="19">
        <f>IF(A611="","",IF(OR(A611&lt;YearStart,A611&gt;YearEnd),"-",IF(A611&lt;=P1End,"Q1",IF(A611&lt;=P2End,"Q2",IF(A611&lt;=P3End,"Q3","Q4")))))</f>
        <v/>
      </c>
    </row>
    <row r="612">
      <c r="A612" s="17" t="n"/>
      <c r="D612" s="20" t="n"/>
      <c r="E612" s="19">
        <f>IF(A612="","",IF(OR(A612&lt;YearStart,A612&gt;YearEnd),"-",IF(A612&lt;=P1End,"Q1",IF(A612&lt;=P2End,"Q2",IF(A612&lt;=P3End,"Q3","Q4")))))</f>
        <v/>
      </c>
    </row>
    <row r="613">
      <c r="A613" s="17" t="n"/>
      <c r="D613" s="20" t="n"/>
      <c r="E613" s="19">
        <f>IF(A613="","",IF(OR(A613&lt;YearStart,A613&gt;YearEnd),"-",IF(A613&lt;=P1End,"Q1",IF(A613&lt;=P2End,"Q2",IF(A613&lt;=P3End,"Q3","Q4")))))</f>
        <v/>
      </c>
    </row>
    <row r="614">
      <c r="A614" s="17" t="n"/>
      <c r="D614" s="20" t="n"/>
      <c r="E614" s="19">
        <f>IF(A614="","",IF(OR(A614&lt;YearStart,A614&gt;YearEnd),"-",IF(A614&lt;=P1End,"Q1",IF(A614&lt;=P2End,"Q2",IF(A614&lt;=P3End,"Q3","Q4")))))</f>
        <v/>
      </c>
    </row>
    <row r="615">
      <c r="A615" s="17" t="n"/>
      <c r="D615" s="20" t="n"/>
      <c r="E615" s="19">
        <f>IF(A615="","",IF(OR(A615&lt;YearStart,A615&gt;YearEnd),"-",IF(A615&lt;=P1End,"Q1",IF(A615&lt;=P2End,"Q2",IF(A615&lt;=P3End,"Q3","Q4")))))</f>
        <v/>
      </c>
    </row>
    <row r="616">
      <c r="A616" s="17" t="n"/>
      <c r="D616" s="20" t="n"/>
      <c r="E616" s="19">
        <f>IF(A616="","",IF(OR(A616&lt;YearStart,A616&gt;YearEnd),"-",IF(A616&lt;=P1End,"Q1",IF(A616&lt;=P2End,"Q2",IF(A616&lt;=P3End,"Q3","Q4")))))</f>
        <v/>
      </c>
    </row>
    <row r="617">
      <c r="A617" s="17" t="n"/>
      <c r="D617" s="20" t="n"/>
      <c r="E617" s="19">
        <f>IF(A617="","",IF(OR(A617&lt;YearStart,A617&gt;YearEnd),"-",IF(A617&lt;=P1End,"Q1",IF(A617&lt;=P2End,"Q2",IF(A617&lt;=P3End,"Q3","Q4")))))</f>
        <v/>
      </c>
    </row>
    <row r="618">
      <c r="A618" s="17" t="n"/>
      <c r="D618" s="20" t="n"/>
      <c r="E618" s="19">
        <f>IF(A618="","",IF(OR(A618&lt;YearStart,A618&gt;YearEnd),"-",IF(A618&lt;=P1End,"Q1",IF(A618&lt;=P2End,"Q2",IF(A618&lt;=P3End,"Q3","Q4")))))</f>
        <v/>
      </c>
    </row>
    <row r="619">
      <c r="A619" s="17" t="n"/>
      <c r="D619" s="20" t="n"/>
      <c r="E619" s="19">
        <f>IF(A619="","",IF(OR(A619&lt;YearStart,A619&gt;YearEnd),"-",IF(A619&lt;=P1End,"Q1",IF(A619&lt;=P2End,"Q2",IF(A619&lt;=P3End,"Q3","Q4")))))</f>
        <v/>
      </c>
    </row>
    <row r="620">
      <c r="A620" s="17" t="n"/>
      <c r="D620" s="20" t="n"/>
      <c r="E620" s="19">
        <f>IF(A620="","",IF(OR(A620&lt;YearStart,A620&gt;YearEnd),"-",IF(A620&lt;=P1End,"Q1",IF(A620&lt;=P2End,"Q2",IF(A620&lt;=P3End,"Q3","Q4")))))</f>
        <v/>
      </c>
    </row>
    <row r="621">
      <c r="A621" s="17" t="n"/>
      <c r="D621" s="20" t="n"/>
      <c r="E621" s="19">
        <f>IF(A621="","",IF(OR(A621&lt;YearStart,A621&gt;YearEnd),"-",IF(A621&lt;=P1End,"Q1",IF(A621&lt;=P2End,"Q2",IF(A621&lt;=P3End,"Q3","Q4")))))</f>
        <v/>
      </c>
    </row>
    <row r="622">
      <c r="A622" s="17" t="n"/>
      <c r="D622" s="20" t="n"/>
      <c r="E622" s="19">
        <f>IF(A622="","",IF(OR(A622&lt;YearStart,A622&gt;YearEnd),"-",IF(A622&lt;=P1End,"Q1",IF(A622&lt;=P2End,"Q2",IF(A622&lt;=P3End,"Q3","Q4")))))</f>
        <v/>
      </c>
    </row>
    <row r="623">
      <c r="A623" s="17" t="n"/>
      <c r="D623" s="20" t="n"/>
      <c r="E623" s="19">
        <f>IF(A623="","",IF(OR(A623&lt;YearStart,A623&gt;YearEnd),"-",IF(A623&lt;=P1End,"Q1",IF(A623&lt;=P2End,"Q2",IF(A623&lt;=P3End,"Q3","Q4")))))</f>
        <v/>
      </c>
    </row>
    <row r="624">
      <c r="A624" s="17" t="n"/>
      <c r="D624" s="20" t="n"/>
      <c r="E624" s="19">
        <f>IF(A624="","",IF(OR(A624&lt;YearStart,A624&gt;YearEnd),"-",IF(A624&lt;=P1End,"Q1",IF(A624&lt;=P2End,"Q2",IF(A624&lt;=P3End,"Q3","Q4")))))</f>
        <v/>
      </c>
    </row>
    <row r="625">
      <c r="A625" s="17" t="n"/>
      <c r="D625" s="20" t="n"/>
      <c r="E625" s="19">
        <f>IF(A625="","",IF(OR(A625&lt;YearStart,A625&gt;YearEnd),"-",IF(A625&lt;=P1End,"Q1",IF(A625&lt;=P2End,"Q2",IF(A625&lt;=P3End,"Q3","Q4")))))</f>
        <v/>
      </c>
    </row>
    <row r="626">
      <c r="A626" s="17" t="n"/>
      <c r="D626" s="20" t="n"/>
      <c r="E626" s="19">
        <f>IF(A626="","",IF(OR(A626&lt;YearStart,A626&gt;YearEnd),"-",IF(A626&lt;=P1End,"Q1",IF(A626&lt;=P2End,"Q2",IF(A626&lt;=P3End,"Q3","Q4")))))</f>
        <v/>
      </c>
    </row>
    <row r="627">
      <c r="A627" s="17" t="n"/>
      <c r="D627" s="20" t="n"/>
      <c r="E627" s="19">
        <f>IF(A627="","",IF(OR(A627&lt;YearStart,A627&gt;YearEnd),"-",IF(A627&lt;=P1End,"Q1",IF(A627&lt;=P2End,"Q2",IF(A627&lt;=P3End,"Q3","Q4")))))</f>
        <v/>
      </c>
    </row>
    <row r="628">
      <c r="A628" s="17" t="n"/>
      <c r="D628" s="20" t="n"/>
      <c r="E628" s="19">
        <f>IF(A628="","",IF(OR(A628&lt;YearStart,A628&gt;YearEnd),"-",IF(A628&lt;=P1End,"Q1",IF(A628&lt;=P2End,"Q2",IF(A628&lt;=P3End,"Q3","Q4")))))</f>
        <v/>
      </c>
    </row>
    <row r="629">
      <c r="A629" s="17" t="n"/>
      <c r="D629" s="20" t="n"/>
      <c r="E629" s="19">
        <f>IF(A629="","",IF(OR(A629&lt;YearStart,A629&gt;YearEnd),"-",IF(A629&lt;=P1End,"Q1",IF(A629&lt;=P2End,"Q2",IF(A629&lt;=P3End,"Q3","Q4")))))</f>
        <v/>
      </c>
    </row>
    <row r="630">
      <c r="A630" s="17" t="n"/>
      <c r="D630" s="20" t="n"/>
      <c r="E630" s="19">
        <f>IF(A630="","",IF(OR(A630&lt;YearStart,A630&gt;YearEnd),"-",IF(A630&lt;=P1End,"Q1",IF(A630&lt;=P2End,"Q2",IF(A630&lt;=P3End,"Q3","Q4")))))</f>
        <v/>
      </c>
    </row>
    <row r="631">
      <c r="A631" s="17" t="n"/>
      <c r="D631" s="20" t="n"/>
      <c r="E631" s="19">
        <f>IF(A631="","",IF(OR(A631&lt;YearStart,A631&gt;YearEnd),"-",IF(A631&lt;=P1End,"Q1",IF(A631&lt;=P2End,"Q2",IF(A631&lt;=P3End,"Q3","Q4")))))</f>
        <v/>
      </c>
    </row>
    <row r="632">
      <c r="A632" s="17" t="n"/>
      <c r="D632" s="20" t="n"/>
      <c r="E632" s="19">
        <f>IF(A632="","",IF(OR(A632&lt;YearStart,A632&gt;YearEnd),"-",IF(A632&lt;=P1End,"Q1",IF(A632&lt;=P2End,"Q2",IF(A632&lt;=P3End,"Q3","Q4")))))</f>
        <v/>
      </c>
    </row>
    <row r="633">
      <c r="A633" s="17" t="n"/>
      <c r="D633" s="20" t="n"/>
      <c r="E633" s="19">
        <f>IF(A633="","",IF(OR(A633&lt;YearStart,A633&gt;YearEnd),"-",IF(A633&lt;=P1End,"Q1",IF(A633&lt;=P2End,"Q2",IF(A633&lt;=P3End,"Q3","Q4")))))</f>
        <v/>
      </c>
    </row>
    <row r="634">
      <c r="A634" s="17" t="n"/>
      <c r="D634" s="20" t="n"/>
      <c r="E634" s="19">
        <f>IF(A634="","",IF(OR(A634&lt;YearStart,A634&gt;YearEnd),"-",IF(A634&lt;=P1End,"Q1",IF(A634&lt;=P2End,"Q2",IF(A634&lt;=P3End,"Q3","Q4")))))</f>
        <v/>
      </c>
    </row>
    <row r="635">
      <c r="A635" s="17" t="n"/>
      <c r="D635" s="20" t="n"/>
      <c r="E635" s="19">
        <f>IF(A635="","",IF(OR(A635&lt;YearStart,A635&gt;YearEnd),"-",IF(A635&lt;=P1End,"Q1",IF(A635&lt;=P2End,"Q2",IF(A635&lt;=P3End,"Q3","Q4")))))</f>
        <v/>
      </c>
    </row>
    <row r="636">
      <c r="A636" s="17" t="n"/>
      <c r="D636" s="20" t="n"/>
      <c r="E636" s="19">
        <f>IF(A636="","",IF(OR(A636&lt;YearStart,A636&gt;YearEnd),"-",IF(A636&lt;=P1End,"Q1",IF(A636&lt;=P2End,"Q2",IF(A636&lt;=P3End,"Q3","Q4")))))</f>
        <v/>
      </c>
    </row>
    <row r="637">
      <c r="A637" s="17" t="n"/>
      <c r="D637" s="20" t="n"/>
      <c r="E637" s="19">
        <f>IF(A637="","",IF(OR(A637&lt;YearStart,A637&gt;YearEnd),"-",IF(A637&lt;=P1End,"Q1",IF(A637&lt;=P2End,"Q2",IF(A637&lt;=P3End,"Q3","Q4")))))</f>
        <v/>
      </c>
    </row>
    <row r="638">
      <c r="A638" s="17" t="n"/>
      <c r="D638" s="20" t="n"/>
      <c r="E638" s="19">
        <f>IF(A638="","",IF(OR(A638&lt;YearStart,A638&gt;YearEnd),"-",IF(A638&lt;=P1End,"Q1",IF(A638&lt;=P2End,"Q2",IF(A638&lt;=P3End,"Q3","Q4")))))</f>
        <v/>
      </c>
    </row>
    <row r="639">
      <c r="A639" s="17" t="n"/>
      <c r="D639" s="20" t="n"/>
      <c r="E639" s="19">
        <f>IF(A639="","",IF(OR(A639&lt;YearStart,A639&gt;YearEnd),"-",IF(A639&lt;=P1End,"Q1",IF(A639&lt;=P2End,"Q2",IF(A639&lt;=P3End,"Q3","Q4")))))</f>
        <v/>
      </c>
    </row>
    <row r="640">
      <c r="A640" s="17" t="n"/>
      <c r="D640" s="20" t="n"/>
      <c r="E640" s="19">
        <f>IF(A640="","",IF(OR(A640&lt;YearStart,A640&gt;YearEnd),"-",IF(A640&lt;=P1End,"Q1",IF(A640&lt;=P2End,"Q2",IF(A640&lt;=P3End,"Q3","Q4")))))</f>
        <v/>
      </c>
    </row>
    <row r="641">
      <c r="A641" s="17" t="n"/>
      <c r="D641" s="20" t="n"/>
      <c r="E641" s="19">
        <f>IF(A641="","",IF(OR(A641&lt;YearStart,A641&gt;YearEnd),"-",IF(A641&lt;=P1End,"Q1",IF(A641&lt;=P2End,"Q2",IF(A641&lt;=P3End,"Q3","Q4")))))</f>
        <v/>
      </c>
    </row>
    <row r="642">
      <c r="A642" s="17" t="n"/>
      <c r="D642" s="20" t="n"/>
      <c r="E642" s="19">
        <f>IF(A642="","",IF(OR(A642&lt;YearStart,A642&gt;YearEnd),"-",IF(A642&lt;=P1End,"Q1",IF(A642&lt;=P2End,"Q2",IF(A642&lt;=P3End,"Q3","Q4")))))</f>
        <v/>
      </c>
    </row>
    <row r="643">
      <c r="A643" s="17" t="n"/>
      <c r="D643" s="20" t="n"/>
      <c r="E643" s="19">
        <f>IF(A643="","",IF(OR(A643&lt;YearStart,A643&gt;YearEnd),"-",IF(A643&lt;=P1End,"Q1",IF(A643&lt;=P2End,"Q2",IF(A643&lt;=P3End,"Q3","Q4")))))</f>
        <v/>
      </c>
    </row>
    <row r="644">
      <c r="A644" s="17" t="n"/>
      <c r="D644" s="20" t="n"/>
      <c r="E644" s="19">
        <f>IF(A644="","",IF(OR(A644&lt;YearStart,A644&gt;YearEnd),"-",IF(A644&lt;=P1End,"Q1",IF(A644&lt;=P2End,"Q2",IF(A644&lt;=P3End,"Q3","Q4")))))</f>
        <v/>
      </c>
    </row>
    <row r="645">
      <c r="A645" s="17" t="n"/>
      <c r="D645" s="20" t="n"/>
      <c r="E645" s="19">
        <f>IF(A645="","",IF(OR(A645&lt;YearStart,A645&gt;YearEnd),"-",IF(A645&lt;=P1End,"Q1",IF(A645&lt;=P2End,"Q2",IF(A645&lt;=P3End,"Q3","Q4")))))</f>
        <v/>
      </c>
    </row>
    <row r="646">
      <c r="A646" s="17" t="n"/>
      <c r="D646" s="20" t="n"/>
      <c r="E646" s="19">
        <f>IF(A646="","",IF(OR(A646&lt;YearStart,A646&gt;YearEnd),"-",IF(A646&lt;=P1End,"Q1",IF(A646&lt;=P2End,"Q2",IF(A646&lt;=P3End,"Q3","Q4")))))</f>
        <v/>
      </c>
    </row>
    <row r="647">
      <c r="A647" s="17" t="n"/>
      <c r="D647" s="20" t="n"/>
      <c r="E647" s="19">
        <f>IF(A647="","",IF(OR(A647&lt;YearStart,A647&gt;YearEnd),"-",IF(A647&lt;=P1End,"Q1",IF(A647&lt;=P2End,"Q2",IF(A647&lt;=P3End,"Q3","Q4")))))</f>
        <v/>
      </c>
    </row>
    <row r="648">
      <c r="A648" s="17" t="n"/>
      <c r="D648" s="20" t="n"/>
      <c r="E648" s="19">
        <f>IF(A648="","",IF(OR(A648&lt;YearStart,A648&gt;YearEnd),"-",IF(A648&lt;=P1End,"Q1",IF(A648&lt;=P2End,"Q2",IF(A648&lt;=P3End,"Q3","Q4")))))</f>
        <v/>
      </c>
    </row>
    <row r="649">
      <c r="A649" s="17" t="n"/>
      <c r="D649" s="20" t="n"/>
      <c r="E649" s="19">
        <f>IF(A649="","",IF(OR(A649&lt;YearStart,A649&gt;YearEnd),"-",IF(A649&lt;=P1End,"Q1",IF(A649&lt;=P2End,"Q2",IF(A649&lt;=P3End,"Q3","Q4")))))</f>
        <v/>
      </c>
    </row>
    <row r="650">
      <c r="A650" s="17" t="n"/>
      <c r="D650" s="20" t="n"/>
      <c r="E650" s="19">
        <f>IF(A650="","",IF(OR(A650&lt;YearStart,A650&gt;YearEnd),"-",IF(A650&lt;=P1End,"Q1",IF(A650&lt;=P2End,"Q2",IF(A650&lt;=P3End,"Q3","Q4")))))</f>
        <v/>
      </c>
    </row>
    <row r="651">
      <c r="A651" s="17" t="n"/>
      <c r="D651" s="20" t="n"/>
      <c r="E651" s="19">
        <f>IF(A651="","",IF(OR(A651&lt;YearStart,A651&gt;YearEnd),"-",IF(A651&lt;=P1End,"Q1",IF(A651&lt;=P2End,"Q2",IF(A651&lt;=P3End,"Q3","Q4")))))</f>
        <v/>
      </c>
    </row>
    <row r="652">
      <c r="A652" s="17" t="n"/>
      <c r="D652" s="20" t="n"/>
      <c r="E652" s="19">
        <f>IF(A652="","",IF(OR(A652&lt;YearStart,A652&gt;YearEnd),"-",IF(A652&lt;=P1End,"Q1",IF(A652&lt;=P2End,"Q2",IF(A652&lt;=P3End,"Q3","Q4")))))</f>
        <v/>
      </c>
    </row>
    <row r="653">
      <c r="A653" s="17" t="n"/>
      <c r="D653" s="20" t="n"/>
      <c r="E653" s="19">
        <f>IF(A653="","",IF(OR(A653&lt;YearStart,A653&gt;YearEnd),"-",IF(A653&lt;=P1End,"Q1",IF(A653&lt;=P2End,"Q2",IF(A653&lt;=P3End,"Q3","Q4")))))</f>
        <v/>
      </c>
    </row>
    <row r="654">
      <c r="A654" s="17" t="n"/>
      <c r="D654" s="20" t="n"/>
      <c r="E654" s="19">
        <f>IF(A654="","",IF(OR(A654&lt;YearStart,A654&gt;YearEnd),"-",IF(A654&lt;=P1End,"Q1",IF(A654&lt;=P2End,"Q2",IF(A654&lt;=P3End,"Q3","Q4")))))</f>
        <v/>
      </c>
    </row>
    <row r="655">
      <c r="A655" s="17" t="n"/>
      <c r="D655" s="20" t="n"/>
      <c r="E655" s="19">
        <f>IF(A655="","",IF(OR(A655&lt;YearStart,A655&gt;YearEnd),"-",IF(A655&lt;=P1End,"Q1",IF(A655&lt;=P2End,"Q2",IF(A655&lt;=P3End,"Q3","Q4")))))</f>
        <v/>
      </c>
    </row>
    <row r="656">
      <c r="A656" s="17" t="n"/>
      <c r="D656" s="20" t="n"/>
      <c r="E656" s="19">
        <f>IF(A656="","",IF(OR(A656&lt;YearStart,A656&gt;YearEnd),"-",IF(A656&lt;=P1End,"Q1",IF(A656&lt;=P2End,"Q2",IF(A656&lt;=P3End,"Q3","Q4")))))</f>
        <v/>
      </c>
    </row>
    <row r="657">
      <c r="A657" s="17" t="n"/>
      <c r="D657" s="20" t="n"/>
      <c r="E657" s="19">
        <f>IF(A657="","",IF(OR(A657&lt;YearStart,A657&gt;YearEnd),"-",IF(A657&lt;=P1End,"Q1",IF(A657&lt;=P2End,"Q2",IF(A657&lt;=P3End,"Q3","Q4")))))</f>
        <v/>
      </c>
    </row>
    <row r="658">
      <c r="A658" s="17" t="n"/>
      <c r="D658" s="20" t="n"/>
      <c r="E658" s="19">
        <f>IF(A658="","",IF(OR(A658&lt;YearStart,A658&gt;YearEnd),"-",IF(A658&lt;=P1End,"Q1",IF(A658&lt;=P2End,"Q2",IF(A658&lt;=P3End,"Q3","Q4")))))</f>
        <v/>
      </c>
    </row>
    <row r="659">
      <c r="A659" s="17" t="n"/>
      <c r="D659" s="20" t="n"/>
      <c r="E659" s="19">
        <f>IF(A659="","",IF(OR(A659&lt;YearStart,A659&gt;YearEnd),"-",IF(A659&lt;=P1End,"Q1",IF(A659&lt;=P2End,"Q2",IF(A659&lt;=P3End,"Q3","Q4")))))</f>
        <v/>
      </c>
    </row>
    <row r="660">
      <c r="A660" s="17" t="n"/>
      <c r="D660" s="20" t="n"/>
      <c r="E660" s="19">
        <f>IF(A660="","",IF(OR(A660&lt;YearStart,A660&gt;YearEnd),"-",IF(A660&lt;=P1End,"Q1",IF(A660&lt;=P2End,"Q2",IF(A660&lt;=P3End,"Q3","Q4")))))</f>
        <v/>
      </c>
    </row>
    <row r="661">
      <c r="A661" s="17" t="n"/>
      <c r="D661" s="20" t="n"/>
      <c r="E661" s="19">
        <f>IF(A661="","",IF(OR(A661&lt;YearStart,A661&gt;YearEnd),"-",IF(A661&lt;=P1End,"Q1",IF(A661&lt;=P2End,"Q2",IF(A661&lt;=P3End,"Q3","Q4")))))</f>
        <v/>
      </c>
    </row>
    <row r="662">
      <c r="A662" s="17" t="n"/>
      <c r="D662" s="20" t="n"/>
      <c r="E662" s="19">
        <f>IF(A662="","",IF(OR(A662&lt;YearStart,A662&gt;YearEnd),"-",IF(A662&lt;=P1End,"Q1",IF(A662&lt;=P2End,"Q2",IF(A662&lt;=P3End,"Q3","Q4")))))</f>
        <v/>
      </c>
    </row>
    <row r="663">
      <c r="A663" s="17" t="n"/>
      <c r="D663" s="20" t="n"/>
      <c r="E663" s="19">
        <f>IF(A663="","",IF(OR(A663&lt;YearStart,A663&gt;YearEnd),"-",IF(A663&lt;=P1End,"Q1",IF(A663&lt;=P2End,"Q2",IF(A663&lt;=P3End,"Q3","Q4")))))</f>
        <v/>
      </c>
    </row>
    <row r="664">
      <c r="A664" s="17" t="n"/>
      <c r="D664" s="20" t="n"/>
      <c r="E664" s="19">
        <f>IF(A664="","",IF(OR(A664&lt;YearStart,A664&gt;YearEnd),"-",IF(A664&lt;=P1End,"Q1",IF(A664&lt;=P2End,"Q2",IF(A664&lt;=P3End,"Q3","Q4")))))</f>
        <v/>
      </c>
    </row>
    <row r="665">
      <c r="A665" s="17" t="n"/>
      <c r="D665" s="20" t="n"/>
      <c r="E665" s="19">
        <f>IF(A665="","",IF(OR(A665&lt;YearStart,A665&gt;YearEnd),"-",IF(A665&lt;=P1End,"Q1",IF(A665&lt;=P2End,"Q2",IF(A665&lt;=P3End,"Q3","Q4")))))</f>
        <v/>
      </c>
    </row>
    <row r="666">
      <c r="A666" s="17" t="n"/>
      <c r="D666" s="20" t="n"/>
      <c r="E666" s="19">
        <f>IF(A666="","",IF(OR(A666&lt;YearStart,A666&gt;YearEnd),"-",IF(A666&lt;=P1End,"Q1",IF(A666&lt;=P2End,"Q2",IF(A666&lt;=P3End,"Q3","Q4")))))</f>
        <v/>
      </c>
    </row>
    <row r="667">
      <c r="A667" s="17" t="n"/>
      <c r="D667" s="20" t="n"/>
      <c r="E667" s="19">
        <f>IF(A667="","",IF(OR(A667&lt;YearStart,A667&gt;YearEnd),"-",IF(A667&lt;=P1End,"Q1",IF(A667&lt;=P2End,"Q2",IF(A667&lt;=P3End,"Q3","Q4")))))</f>
        <v/>
      </c>
    </row>
    <row r="668">
      <c r="A668" s="17" t="n"/>
      <c r="D668" s="20" t="n"/>
      <c r="E668" s="19">
        <f>IF(A668="","",IF(OR(A668&lt;YearStart,A668&gt;YearEnd),"-",IF(A668&lt;=P1End,"Q1",IF(A668&lt;=P2End,"Q2",IF(A668&lt;=P3End,"Q3","Q4")))))</f>
        <v/>
      </c>
    </row>
    <row r="669">
      <c r="A669" s="17" t="n"/>
      <c r="D669" s="20" t="n"/>
      <c r="E669" s="19">
        <f>IF(A669="","",IF(OR(A669&lt;YearStart,A669&gt;YearEnd),"-",IF(A669&lt;=P1End,"Q1",IF(A669&lt;=P2End,"Q2",IF(A669&lt;=P3End,"Q3","Q4")))))</f>
        <v/>
      </c>
    </row>
    <row r="670">
      <c r="A670" s="17" t="n"/>
      <c r="D670" s="20" t="n"/>
      <c r="E670" s="19">
        <f>IF(A670="","",IF(OR(A670&lt;YearStart,A670&gt;YearEnd),"-",IF(A670&lt;=P1End,"Q1",IF(A670&lt;=P2End,"Q2",IF(A670&lt;=P3End,"Q3","Q4")))))</f>
        <v/>
      </c>
    </row>
    <row r="671">
      <c r="A671" s="17" t="n"/>
      <c r="D671" s="20" t="n"/>
      <c r="E671" s="19">
        <f>IF(A671="","",IF(OR(A671&lt;YearStart,A671&gt;YearEnd),"-",IF(A671&lt;=P1End,"Q1",IF(A671&lt;=P2End,"Q2",IF(A671&lt;=P3End,"Q3","Q4")))))</f>
        <v/>
      </c>
    </row>
    <row r="672">
      <c r="A672" s="17" t="n"/>
      <c r="D672" s="20" t="n"/>
      <c r="E672" s="19">
        <f>IF(A672="","",IF(OR(A672&lt;YearStart,A672&gt;YearEnd),"-",IF(A672&lt;=P1End,"Q1",IF(A672&lt;=P2End,"Q2",IF(A672&lt;=P3End,"Q3","Q4")))))</f>
        <v/>
      </c>
    </row>
    <row r="673">
      <c r="A673" s="17" t="n"/>
      <c r="D673" s="20" t="n"/>
      <c r="E673" s="19">
        <f>IF(A673="","",IF(OR(A673&lt;YearStart,A673&gt;YearEnd),"-",IF(A673&lt;=P1End,"Q1",IF(A673&lt;=P2End,"Q2",IF(A673&lt;=P3End,"Q3","Q4")))))</f>
        <v/>
      </c>
    </row>
    <row r="674">
      <c r="A674" s="17" t="n"/>
      <c r="D674" s="20" t="n"/>
      <c r="E674" s="19">
        <f>IF(A674="","",IF(OR(A674&lt;YearStart,A674&gt;YearEnd),"-",IF(A674&lt;=P1End,"Q1",IF(A674&lt;=P2End,"Q2",IF(A674&lt;=P3End,"Q3","Q4")))))</f>
        <v/>
      </c>
    </row>
    <row r="675">
      <c r="A675" s="17" t="n"/>
      <c r="D675" s="20" t="n"/>
      <c r="E675" s="19">
        <f>IF(A675="","",IF(OR(A675&lt;YearStart,A675&gt;YearEnd),"-",IF(A675&lt;=P1End,"Q1",IF(A675&lt;=P2End,"Q2",IF(A675&lt;=P3End,"Q3","Q4")))))</f>
        <v/>
      </c>
    </row>
    <row r="676">
      <c r="A676" s="17" t="n"/>
      <c r="D676" s="20" t="n"/>
      <c r="E676" s="19">
        <f>IF(A676="","",IF(OR(A676&lt;YearStart,A676&gt;YearEnd),"-",IF(A676&lt;=P1End,"Q1",IF(A676&lt;=P2End,"Q2",IF(A676&lt;=P3End,"Q3","Q4")))))</f>
        <v/>
      </c>
    </row>
    <row r="677">
      <c r="A677" s="17" t="n"/>
      <c r="D677" s="20" t="n"/>
      <c r="E677" s="19">
        <f>IF(A677="","",IF(OR(A677&lt;YearStart,A677&gt;YearEnd),"-",IF(A677&lt;=P1End,"Q1",IF(A677&lt;=P2End,"Q2",IF(A677&lt;=P3End,"Q3","Q4")))))</f>
        <v/>
      </c>
    </row>
    <row r="678">
      <c r="A678" s="17" t="n"/>
      <c r="D678" s="20" t="n"/>
      <c r="E678" s="19">
        <f>IF(A678="","",IF(OR(A678&lt;YearStart,A678&gt;YearEnd),"-",IF(A678&lt;=P1End,"Q1",IF(A678&lt;=P2End,"Q2",IF(A678&lt;=P3End,"Q3","Q4")))))</f>
        <v/>
      </c>
    </row>
    <row r="679">
      <c r="A679" s="17" t="n"/>
      <c r="D679" s="20" t="n"/>
      <c r="E679" s="19">
        <f>IF(A679="","",IF(OR(A679&lt;YearStart,A679&gt;YearEnd),"-",IF(A679&lt;=P1End,"Q1",IF(A679&lt;=P2End,"Q2",IF(A679&lt;=P3End,"Q3","Q4")))))</f>
        <v/>
      </c>
    </row>
    <row r="680">
      <c r="A680" s="17" t="n"/>
      <c r="D680" s="20" t="n"/>
      <c r="E680" s="19">
        <f>IF(A680="","",IF(OR(A680&lt;YearStart,A680&gt;YearEnd),"-",IF(A680&lt;=P1End,"Q1",IF(A680&lt;=P2End,"Q2",IF(A680&lt;=P3End,"Q3","Q4")))))</f>
        <v/>
      </c>
    </row>
    <row r="681">
      <c r="A681" s="17" t="n"/>
      <c r="D681" s="20" t="n"/>
      <c r="E681" s="19">
        <f>IF(A681="","",IF(OR(A681&lt;YearStart,A681&gt;YearEnd),"-",IF(A681&lt;=P1End,"Q1",IF(A681&lt;=P2End,"Q2",IF(A681&lt;=P3End,"Q3","Q4")))))</f>
        <v/>
      </c>
    </row>
    <row r="682">
      <c r="A682" s="17" t="n"/>
      <c r="D682" s="20" t="n"/>
      <c r="E682" s="19">
        <f>IF(A682="","",IF(OR(A682&lt;YearStart,A682&gt;YearEnd),"-",IF(A682&lt;=P1End,"Q1",IF(A682&lt;=P2End,"Q2",IF(A682&lt;=P3End,"Q3","Q4")))))</f>
        <v/>
      </c>
    </row>
    <row r="683">
      <c r="A683" s="17" t="n"/>
      <c r="D683" s="20" t="n"/>
      <c r="E683" s="19">
        <f>IF(A683="","",IF(OR(A683&lt;YearStart,A683&gt;YearEnd),"-",IF(A683&lt;=P1End,"Q1",IF(A683&lt;=P2End,"Q2",IF(A683&lt;=P3End,"Q3","Q4")))))</f>
        <v/>
      </c>
    </row>
    <row r="684">
      <c r="A684" s="17" t="n"/>
      <c r="D684" s="20" t="n"/>
      <c r="E684" s="19">
        <f>IF(A684="","",IF(OR(A684&lt;YearStart,A684&gt;YearEnd),"-",IF(A684&lt;=P1End,"Q1",IF(A684&lt;=P2End,"Q2",IF(A684&lt;=P3End,"Q3","Q4")))))</f>
        <v/>
      </c>
    </row>
    <row r="685">
      <c r="A685" s="17" t="n"/>
      <c r="D685" s="20" t="n"/>
      <c r="E685" s="19">
        <f>IF(A685="","",IF(OR(A685&lt;YearStart,A685&gt;YearEnd),"-",IF(A685&lt;=P1End,"Q1",IF(A685&lt;=P2End,"Q2",IF(A685&lt;=P3End,"Q3","Q4")))))</f>
        <v/>
      </c>
    </row>
    <row r="686">
      <c r="A686" s="17" t="n"/>
      <c r="D686" s="20" t="n"/>
      <c r="E686" s="19">
        <f>IF(A686="","",IF(OR(A686&lt;YearStart,A686&gt;YearEnd),"-",IF(A686&lt;=P1End,"Q1",IF(A686&lt;=P2End,"Q2",IF(A686&lt;=P3End,"Q3","Q4")))))</f>
        <v/>
      </c>
    </row>
    <row r="687">
      <c r="A687" s="17" t="n"/>
      <c r="D687" s="20" t="n"/>
      <c r="E687" s="19">
        <f>IF(A687="","",IF(OR(A687&lt;YearStart,A687&gt;YearEnd),"-",IF(A687&lt;=P1End,"Q1",IF(A687&lt;=P2End,"Q2",IF(A687&lt;=P3End,"Q3","Q4")))))</f>
        <v/>
      </c>
    </row>
    <row r="688">
      <c r="A688" s="17" t="n"/>
      <c r="D688" s="20" t="n"/>
      <c r="E688" s="19">
        <f>IF(A688="","",IF(OR(A688&lt;YearStart,A688&gt;YearEnd),"-",IF(A688&lt;=P1End,"Q1",IF(A688&lt;=P2End,"Q2",IF(A688&lt;=P3End,"Q3","Q4")))))</f>
        <v/>
      </c>
    </row>
    <row r="689">
      <c r="A689" s="17" t="n"/>
      <c r="D689" s="20" t="n"/>
      <c r="E689" s="19">
        <f>IF(A689="","",IF(OR(A689&lt;YearStart,A689&gt;YearEnd),"-",IF(A689&lt;=P1End,"Q1",IF(A689&lt;=P2End,"Q2",IF(A689&lt;=P3End,"Q3","Q4")))))</f>
        <v/>
      </c>
    </row>
    <row r="690">
      <c r="A690" s="17" t="n"/>
      <c r="D690" s="20" t="n"/>
      <c r="E690" s="19">
        <f>IF(A690="","",IF(OR(A690&lt;YearStart,A690&gt;YearEnd),"-",IF(A690&lt;=P1End,"Q1",IF(A690&lt;=P2End,"Q2",IF(A690&lt;=P3End,"Q3","Q4")))))</f>
        <v/>
      </c>
    </row>
    <row r="691">
      <c r="A691" s="17" t="n"/>
      <c r="D691" s="20" t="n"/>
      <c r="E691" s="19">
        <f>IF(A691="","",IF(OR(A691&lt;YearStart,A691&gt;YearEnd),"-",IF(A691&lt;=P1End,"Q1",IF(A691&lt;=P2End,"Q2",IF(A691&lt;=P3End,"Q3","Q4")))))</f>
        <v/>
      </c>
    </row>
    <row r="692">
      <c r="A692" s="17" t="n"/>
      <c r="D692" s="20" t="n"/>
      <c r="E692" s="19">
        <f>IF(A692="","",IF(OR(A692&lt;YearStart,A692&gt;YearEnd),"-",IF(A692&lt;=P1End,"Q1",IF(A692&lt;=P2End,"Q2",IF(A692&lt;=P3End,"Q3","Q4")))))</f>
        <v/>
      </c>
    </row>
    <row r="693">
      <c r="A693" s="17" t="n"/>
      <c r="D693" s="20" t="n"/>
      <c r="E693" s="19">
        <f>IF(A693="","",IF(OR(A693&lt;YearStart,A693&gt;YearEnd),"-",IF(A693&lt;=P1End,"Q1",IF(A693&lt;=P2End,"Q2",IF(A693&lt;=P3End,"Q3","Q4")))))</f>
        <v/>
      </c>
    </row>
    <row r="694">
      <c r="A694" s="17" t="n"/>
      <c r="D694" s="20" t="n"/>
      <c r="E694" s="19">
        <f>IF(A694="","",IF(OR(A694&lt;YearStart,A694&gt;YearEnd),"-",IF(A694&lt;=P1End,"Q1",IF(A694&lt;=P2End,"Q2",IF(A694&lt;=P3End,"Q3","Q4")))))</f>
        <v/>
      </c>
    </row>
    <row r="695">
      <c r="A695" s="17" t="n"/>
      <c r="D695" s="20" t="n"/>
      <c r="E695" s="19">
        <f>IF(A695="","",IF(OR(A695&lt;YearStart,A695&gt;YearEnd),"-",IF(A695&lt;=P1End,"Q1",IF(A695&lt;=P2End,"Q2",IF(A695&lt;=P3End,"Q3","Q4")))))</f>
        <v/>
      </c>
    </row>
    <row r="696">
      <c r="A696" s="17" t="n"/>
      <c r="D696" s="20" t="n"/>
      <c r="E696" s="19">
        <f>IF(A696="","",IF(OR(A696&lt;YearStart,A696&gt;YearEnd),"-",IF(A696&lt;=P1End,"Q1",IF(A696&lt;=P2End,"Q2",IF(A696&lt;=P3End,"Q3","Q4")))))</f>
        <v/>
      </c>
    </row>
    <row r="697">
      <c r="A697" s="17" t="n"/>
      <c r="D697" s="20" t="n"/>
      <c r="E697" s="19">
        <f>IF(A697="","",IF(OR(A697&lt;YearStart,A697&gt;YearEnd),"-",IF(A697&lt;=P1End,"Q1",IF(A697&lt;=P2End,"Q2",IF(A697&lt;=P3End,"Q3","Q4")))))</f>
        <v/>
      </c>
    </row>
    <row r="698">
      <c r="A698" s="17" t="n"/>
      <c r="D698" s="20" t="n"/>
      <c r="E698" s="19">
        <f>IF(A698="","",IF(OR(A698&lt;YearStart,A698&gt;YearEnd),"-",IF(A698&lt;=P1End,"Q1",IF(A698&lt;=P2End,"Q2",IF(A698&lt;=P3End,"Q3","Q4")))))</f>
        <v/>
      </c>
    </row>
    <row r="699">
      <c r="A699" s="17" t="n"/>
      <c r="D699" s="20" t="n"/>
      <c r="E699" s="19">
        <f>IF(A699="","",IF(OR(A699&lt;YearStart,A699&gt;YearEnd),"-",IF(A699&lt;=P1End,"Q1",IF(A699&lt;=P2End,"Q2",IF(A699&lt;=P3End,"Q3","Q4")))))</f>
        <v/>
      </c>
    </row>
    <row r="700">
      <c r="A700" s="17" t="n"/>
      <c r="D700" s="20" t="n"/>
      <c r="E700" s="19">
        <f>IF(A700="","",IF(OR(A700&lt;YearStart,A700&gt;YearEnd),"-",IF(A700&lt;=P1End,"Q1",IF(A700&lt;=P2End,"Q2",IF(A700&lt;=P3End,"Q3","Q4")))))</f>
        <v/>
      </c>
    </row>
    <row r="701">
      <c r="A701" s="17" t="n"/>
      <c r="D701" s="20" t="n"/>
      <c r="E701" s="19">
        <f>IF(A701="","",IF(OR(A701&lt;YearStart,A701&gt;YearEnd),"-",IF(A701&lt;=P1End,"Q1",IF(A701&lt;=P2End,"Q2",IF(A701&lt;=P3End,"Q3","Q4")))))</f>
        <v/>
      </c>
    </row>
    <row r="702">
      <c r="A702" s="17" t="n"/>
      <c r="D702" s="20" t="n"/>
      <c r="E702" s="19">
        <f>IF(A702="","",IF(OR(A702&lt;YearStart,A702&gt;YearEnd),"-",IF(A702&lt;=P1End,"Q1",IF(A702&lt;=P2End,"Q2",IF(A702&lt;=P3End,"Q3","Q4")))))</f>
        <v/>
      </c>
    </row>
    <row r="703">
      <c r="A703" s="17" t="n"/>
      <c r="D703" s="20" t="n"/>
      <c r="E703" s="19">
        <f>IF(A703="","",IF(OR(A703&lt;YearStart,A703&gt;YearEnd),"-",IF(A703&lt;=P1End,"Q1",IF(A703&lt;=P2End,"Q2",IF(A703&lt;=P3End,"Q3","Q4")))))</f>
        <v/>
      </c>
    </row>
    <row r="704">
      <c r="A704" s="17" t="n"/>
      <c r="D704" s="20" t="n"/>
      <c r="E704" s="19">
        <f>IF(A704="","",IF(OR(A704&lt;YearStart,A704&gt;YearEnd),"-",IF(A704&lt;=P1End,"Q1",IF(A704&lt;=P2End,"Q2",IF(A704&lt;=P3End,"Q3","Q4")))))</f>
        <v/>
      </c>
    </row>
    <row r="705">
      <c r="A705" s="17" t="n"/>
      <c r="D705" s="20" t="n"/>
      <c r="E705" s="19">
        <f>IF(A705="","",IF(OR(A705&lt;YearStart,A705&gt;YearEnd),"-",IF(A705&lt;=P1End,"Q1",IF(A705&lt;=P2End,"Q2",IF(A705&lt;=P3End,"Q3","Q4")))))</f>
        <v/>
      </c>
    </row>
    <row r="706">
      <c r="A706" s="17" t="n"/>
      <c r="D706" s="20" t="n"/>
      <c r="E706" s="19">
        <f>IF(A706="","",IF(OR(A706&lt;YearStart,A706&gt;YearEnd),"-",IF(A706&lt;=P1End,"Q1",IF(A706&lt;=P2End,"Q2",IF(A706&lt;=P3End,"Q3","Q4")))))</f>
        <v/>
      </c>
    </row>
    <row r="707">
      <c r="A707" s="17" t="n"/>
      <c r="D707" s="20" t="n"/>
      <c r="E707" s="19">
        <f>IF(A707="","",IF(OR(A707&lt;YearStart,A707&gt;YearEnd),"-",IF(A707&lt;=P1End,"Q1",IF(A707&lt;=P2End,"Q2",IF(A707&lt;=P3End,"Q3","Q4")))))</f>
        <v/>
      </c>
    </row>
    <row r="708">
      <c r="A708" s="17" t="n"/>
      <c r="D708" s="20" t="n"/>
      <c r="E708" s="19">
        <f>IF(A708="","",IF(OR(A708&lt;YearStart,A708&gt;YearEnd),"-",IF(A708&lt;=P1End,"Q1",IF(A708&lt;=P2End,"Q2",IF(A708&lt;=P3End,"Q3","Q4")))))</f>
        <v/>
      </c>
    </row>
    <row r="709">
      <c r="A709" s="17" t="n"/>
      <c r="D709" s="20" t="n"/>
      <c r="E709" s="19">
        <f>IF(A709="","",IF(OR(A709&lt;YearStart,A709&gt;YearEnd),"-",IF(A709&lt;=P1End,"Q1",IF(A709&lt;=P2End,"Q2",IF(A709&lt;=P3End,"Q3","Q4")))))</f>
        <v/>
      </c>
    </row>
    <row r="710">
      <c r="A710" s="17" t="n"/>
      <c r="D710" s="20" t="n"/>
      <c r="E710" s="19">
        <f>IF(A710="","",IF(OR(A710&lt;YearStart,A710&gt;YearEnd),"-",IF(A710&lt;=P1End,"Q1",IF(A710&lt;=P2End,"Q2",IF(A710&lt;=P3End,"Q3","Q4")))))</f>
        <v/>
      </c>
    </row>
    <row r="711">
      <c r="A711" s="17" t="n"/>
      <c r="D711" s="20" t="n"/>
      <c r="E711" s="19">
        <f>IF(A711="","",IF(OR(A711&lt;YearStart,A711&gt;YearEnd),"-",IF(A711&lt;=P1End,"Q1",IF(A711&lt;=P2End,"Q2",IF(A711&lt;=P3End,"Q3","Q4")))))</f>
        <v/>
      </c>
    </row>
    <row r="712">
      <c r="A712" s="17" t="n"/>
      <c r="D712" s="20" t="n"/>
      <c r="E712" s="19">
        <f>IF(A712="","",IF(OR(A712&lt;YearStart,A712&gt;YearEnd),"-",IF(A712&lt;=P1End,"Q1",IF(A712&lt;=P2End,"Q2",IF(A712&lt;=P3End,"Q3","Q4")))))</f>
        <v/>
      </c>
    </row>
    <row r="713">
      <c r="A713" s="17" t="n"/>
      <c r="D713" s="20" t="n"/>
      <c r="E713" s="19">
        <f>IF(A713="","",IF(OR(A713&lt;YearStart,A713&gt;YearEnd),"-",IF(A713&lt;=P1End,"Q1",IF(A713&lt;=P2End,"Q2",IF(A713&lt;=P3End,"Q3","Q4")))))</f>
        <v/>
      </c>
    </row>
    <row r="714">
      <c r="A714" s="17" t="n"/>
      <c r="D714" s="20" t="n"/>
      <c r="E714" s="19">
        <f>IF(A714="","",IF(OR(A714&lt;YearStart,A714&gt;YearEnd),"-",IF(A714&lt;=P1End,"Q1",IF(A714&lt;=P2End,"Q2",IF(A714&lt;=P3End,"Q3","Q4")))))</f>
        <v/>
      </c>
    </row>
    <row r="715">
      <c r="A715" s="17" t="n"/>
      <c r="D715" s="20" t="n"/>
      <c r="E715" s="19">
        <f>IF(A715="","",IF(OR(A715&lt;YearStart,A715&gt;YearEnd),"-",IF(A715&lt;=P1End,"Q1",IF(A715&lt;=P2End,"Q2",IF(A715&lt;=P3End,"Q3","Q4")))))</f>
        <v/>
      </c>
    </row>
    <row r="716">
      <c r="A716" s="17" t="n"/>
      <c r="D716" s="20" t="n"/>
      <c r="E716" s="19">
        <f>IF(A716="","",IF(OR(A716&lt;YearStart,A716&gt;YearEnd),"-",IF(A716&lt;=P1End,"Q1",IF(A716&lt;=P2End,"Q2",IF(A716&lt;=P3End,"Q3","Q4")))))</f>
        <v/>
      </c>
    </row>
    <row r="717">
      <c r="A717" s="17" t="n"/>
      <c r="D717" s="20" t="n"/>
      <c r="E717" s="19">
        <f>IF(A717="","",IF(OR(A717&lt;YearStart,A717&gt;YearEnd),"-",IF(A717&lt;=P1End,"Q1",IF(A717&lt;=P2End,"Q2",IF(A717&lt;=P3End,"Q3","Q4")))))</f>
        <v/>
      </c>
    </row>
    <row r="718">
      <c r="A718" s="17" t="n"/>
      <c r="D718" s="20" t="n"/>
      <c r="E718" s="19">
        <f>IF(A718="","",IF(OR(A718&lt;YearStart,A718&gt;YearEnd),"-",IF(A718&lt;=P1End,"Q1",IF(A718&lt;=P2End,"Q2",IF(A718&lt;=P3End,"Q3","Q4")))))</f>
        <v/>
      </c>
    </row>
    <row r="719">
      <c r="A719" s="17" t="n"/>
      <c r="D719" s="20" t="n"/>
      <c r="E719" s="19">
        <f>IF(A719="","",IF(OR(A719&lt;YearStart,A719&gt;YearEnd),"-",IF(A719&lt;=P1End,"Q1",IF(A719&lt;=P2End,"Q2",IF(A719&lt;=P3End,"Q3","Q4")))))</f>
        <v/>
      </c>
    </row>
    <row r="720">
      <c r="A720" s="17" t="n"/>
      <c r="D720" s="20" t="n"/>
      <c r="E720" s="19">
        <f>IF(A720="","",IF(OR(A720&lt;YearStart,A720&gt;YearEnd),"-",IF(A720&lt;=P1End,"Q1",IF(A720&lt;=P2End,"Q2",IF(A720&lt;=P3End,"Q3","Q4")))))</f>
        <v/>
      </c>
    </row>
    <row r="721">
      <c r="A721" s="17" t="n"/>
      <c r="D721" s="20" t="n"/>
      <c r="E721" s="19">
        <f>IF(A721="","",IF(OR(A721&lt;YearStart,A721&gt;YearEnd),"-",IF(A721&lt;=P1End,"Q1",IF(A721&lt;=P2End,"Q2",IF(A721&lt;=P3End,"Q3","Q4")))))</f>
        <v/>
      </c>
    </row>
    <row r="722">
      <c r="A722" s="17" t="n"/>
      <c r="D722" s="20" t="n"/>
      <c r="E722" s="19">
        <f>IF(A722="","",IF(OR(A722&lt;YearStart,A722&gt;YearEnd),"-",IF(A722&lt;=P1End,"Q1",IF(A722&lt;=P2End,"Q2",IF(A722&lt;=P3End,"Q3","Q4")))))</f>
        <v/>
      </c>
    </row>
    <row r="723">
      <c r="A723" s="17" t="n"/>
      <c r="D723" s="20" t="n"/>
      <c r="E723" s="19">
        <f>IF(A723="","",IF(OR(A723&lt;YearStart,A723&gt;YearEnd),"-",IF(A723&lt;=P1End,"Q1",IF(A723&lt;=P2End,"Q2",IF(A723&lt;=P3End,"Q3","Q4")))))</f>
        <v/>
      </c>
    </row>
    <row r="724">
      <c r="A724" s="17" t="n"/>
      <c r="D724" s="20" t="n"/>
      <c r="E724" s="19">
        <f>IF(A724="","",IF(OR(A724&lt;YearStart,A724&gt;YearEnd),"-",IF(A724&lt;=P1End,"Q1",IF(A724&lt;=P2End,"Q2",IF(A724&lt;=P3End,"Q3","Q4")))))</f>
        <v/>
      </c>
    </row>
    <row r="725">
      <c r="A725" s="17" t="n"/>
      <c r="D725" s="20" t="n"/>
      <c r="E725" s="19">
        <f>IF(A725="","",IF(OR(A725&lt;YearStart,A725&gt;YearEnd),"-",IF(A725&lt;=P1End,"Q1",IF(A725&lt;=P2End,"Q2",IF(A725&lt;=P3End,"Q3","Q4")))))</f>
        <v/>
      </c>
    </row>
    <row r="726">
      <c r="A726" s="17" t="n"/>
      <c r="D726" s="20" t="n"/>
      <c r="E726" s="19">
        <f>IF(A726="","",IF(OR(A726&lt;YearStart,A726&gt;YearEnd),"-",IF(A726&lt;=P1End,"Q1",IF(A726&lt;=P2End,"Q2",IF(A726&lt;=P3End,"Q3","Q4")))))</f>
        <v/>
      </c>
    </row>
    <row r="727">
      <c r="A727" s="17" t="n"/>
      <c r="D727" s="20" t="n"/>
      <c r="E727" s="19">
        <f>IF(A727="","",IF(OR(A727&lt;YearStart,A727&gt;YearEnd),"-",IF(A727&lt;=P1End,"Q1",IF(A727&lt;=P2End,"Q2",IF(A727&lt;=P3End,"Q3","Q4")))))</f>
        <v/>
      </c>
    </row>
    <row r="728">
      <c r="A728" s="17" t="n"/>
      <c r="D728" s="20" t="n"/>
      <c r="E728" s="19">
        <f>IF(A728="","",IF(OR(A728&lt;YearStart,A728&gt;YearEnd),"-",IF(A728&lt;=P1End,"Q1",IF(A728&lt;=P2End,"Q2",IF(A728&lt;=P3End,"Q3","Q4")))))</f>
        <v/>
      </c>
    </row>
    <row r="729">
      <c r="A729" s="17" t="n"/>
      <c r="D729" s="20" t="n"/>
      <c r="E729" s="19">
        <f>IF(A729="","",IF(OR(A729&lt;YearStart,A729&gt;YearEnd),"-",IF(A729&lt;=P1End,"Q1",IF(A729&lt;=P2End,"Q2",IF(A729&lt;=P3End,"Q3","Q4")))))</f>
        <v/>
      </c>
    </row>
    <row r="730">
      <c r="A730" s="17" t="n"/>
      <c r="D730" s="20" t="n"/>
      <c r="E730" s="19">
        <f>IF(A730="","",IF(OR(A730&lt;YearStart,A730&gt;YearEnd),"-",IF(A730&lt;=P1End,"Q1",IF(A730&lt;=P2End,"Q2",IF(A730&lt;=P3End,"Q3","Q4")))))</f>
        <v/>
      </c>
    </row>
    <row r="731">
      <c r="A731" s="17" t="n"/>
      <c r="D731" s="20" t="n"/>
      <c r="E731" s="19">
        <f>IF(A731="","",IF(OR(A731&lt;YearStart,A731&gt;YearEnd),"-",IF(A731&lt;=P1End,"Q1",IF(A731&lt;=P2End,"Q2",IF(A731&lt;=P3End,"Q3","Q4")))))</f>
        <v/>
      </c>
    </row>
    <row r="732">
      <c r="A732" s="17" t="n"/>
      <c r="D732" s="20" t="n"/>
      <c r="E732" s="19">
        <f>IF(A732="","",IF(OR(A732&lt;YearStart,A732&gt;YearEnd),"-",IF(A732&lt;=P1End,"Q1",IF(A732&lt;=P2End,"Q2",IF(A732&lt;=P3End,"Q3","Q4")))))</f>
        <v/>
      </c>
    </row>
    <row r="733">
      <c r="A733" s="17" t="n"/>
      <c r="D733" s="20" t="n"/>
      <c r="E733" s="19">
        <f>IF(A733="","",IF(OR(A733&lt;YearStart,A733&gt;YearEnd),"-",IF(A733&lt;=P1End,"Q1",IF(A733&lt;=P2End,"Q2",IF(A733&lt;=P3End,"Q3","Q4")))))</f>
        <v/>
      </c>
    </row>
    <row r="734">
      <c r="A734" s="17" t="n"/>
      <c r="D734" s="20" t="n"/>
      <c r="E734" s="19">
        <f>IF(A734="","",IF(OR(A734&lt;YearStart,A734&gt;YearEnd),"-",IF(A734&lt;=P1End,"Q1",IF(A734&lt;=P2End,"Q2",IF(A734&lt;=P3End,"Q3","Q4")))))</f>
        <v/>
      </c>
    </row>
    <row r="735">
      <c r="A735" s="17" t="n"/>
      <c r="D735" s="20" t="n"/>
      <c r="E735" s="19">
        <f>IF(A735="","",IF(OR(A735&lt;YearStart,A735&gt;YearEnd),"-",IF(A735&lt;=P1End,"Q1",IF(A735&lt;=P2End,"Q2",IF(A735&lt;=P3End,"Q3","Q4")))))</f>
        <v/>
      </c>
    </row>
    <row r="736">
      <c r="A736" s="17" t="n"/>
      <c r="D736" s="20" t="n"/>
      <c r="E736" s="19">
        <f>IF(A736="","",IF(OR(A736&lt;YearStart,A736&gt;YearEnd),"-",IF(A736&lt;=P1End,"Q1",IF(A736&lt;=P2End,"Q2",IF(A736&lt;=P3End,"Q3","Q4")))))</f>
        <v/>
      </c>
    </row>
    <row r="737">
      <c r="A737" s="17" t="n"/>
      <c r="D737" s="20" t="n"/>
      <c r="E737" s="19">
        <f>IF(A737="","",IF(OR(A737&lt;YearStart,A737&gt;YearEnd),"-",IF(A737&lt;=P1End,"Q1",IF(A737&lt;=P2End,"Q2",IF(A737&lt;=P3End,"Q3","Q4")))))</f>
        <v/>
      </c>
    </row>
    <row r="738">
      <c r="A738" s="17" t="n"/>
      <c r="D738" s="20" t="n"/>
      <c r="E738" s="19">
        <f>IF(A738="","",IF(OR(A738&lt;YearStart,A738&gt;YearEnd),"-",IF(A738&lt;=P1End,"Q1",IF(A738&lt;=P2End,"Q2",IF(A738&lt;=P3End,"Q3","Q4")))))</f>
        <v/>
      </c>
    </row>
    <row r="739">
      <c r="A739" s="17" t="n"/>
      <c r="D739" s="20" t="n"/>
      <c r="E739" s="19">
        <f>IF(A739="","",IF(OR(A739&lt;YearStart,A739&gt;YearEnd),"-",IF(A739&lt;=P1End,"Q1",IF(A739&lt;=P2End,"Q2",IF(A739&lt;=P3End,"Q3","Q4")))))</f>
        <v/>
      </c>
    </row>
    <row r="740">
      <c r="A740" s="17" t="n"/>
      <c r="D740" s="20" t="n"/>
      <c r="E740" s="19">
        <f>IF(A740="","",IF(OR(A740&lt;YearStart,A740&gt;YearEnd),"-",IF(A740&lt;=P1End,"Q1",IF(A740&lt;=P2End,"Q2",IF(A740&lt;=P3End,"Q3","Q4")))))</f>
        <v/>
      </c>
    </row>
    <row r="741">
      <c r="A741" s="17" t="n"/>
      <c r="D741" s="20" t="n"/>
      <c r="E741" s="19">
        <f>IF(A741="","",IF(OR(A741&lt;YearStart,A741&gt;YearEnd),"-",IF(A741&lt;=P1End,"Q1",IF(A741&lt;=P2End,"Q2",IF(A741&lt;=P3End,"Q3","Q4")))))</f>
        <v/>
      </c>
    </row>
    <row r="742">
      <c r="A742" s="17" t="n"/>
      <c r="D742" s="20" t="n"/>
      <c r="E742" s="19">
        <f>IF(A742="","",IF(OR(A742&lt;YearStart,A742&gt;YearEnd),"-",IF(A742&lt;=P1End,"Q1",IF(A742&lt;=P2End,"Q2",IF(A742&lt;=P3End,"Q3","Q4")))))</f>
        <v/>
      </c>
    </row>
    <row r="743">
      <c r="A743" s="17" t="n"/>
      <c r="D743" s="20" t="n"/>
      <c r="E743" s="19">
        <f>IF(A743="","",IF(OR(A743&lt;YearStart,A743&gt;YearEnd),"-",IF(A743&lt;=P1End,"Q1",IF(A743&lt;=P2End,"Q2",IF(A743&lt;=P3End,"Q3","Q4")))))</f>
        <v/>
      </c>
    </row>
    <row r="744">
      <c r="A744" s="17" t="n"/>
      <c r="D744" s="20" t="n"/>
      <c r="E744" s="19">
        <f>IF(A744="","",IF(OR(A744&lt;YearStart,A744&gt;YearEnd),"-",IF(A744&lt;=P1End,"Q1",IF(A744&lt;=P2End,"Q2",IF(A744&lt;=P3End,"Q3","Q4")))))</f>
        <v/>
      </c>
    </row>
    <row r="745">
      <c r="A745" s="17" t="n"/>
      <c r="D745" s="20" t="n"/>
      <c r="E745" s="19">
        <f>IF(A745="","",IF(OR(A745&lt;YearStart,A745&gt;YearEnd),"-",IF(A745&lt;=P1End,"Q1",IF(A745&lt;=P2End,"Q2",IF(A745&lt;=P3End,"Q3","Q4")))))</f>
        <v/>
      </c>
    </row>
    <row r="746">
      <c r="A746" s="17" t="n"/>
      <c r="D746" s="20" t="n"/>
      <c r="E746" s="19">
        <f>IF(A746="","",IF(OR(A746&lt;YearStart,A746&gt;YearEnd),"-",IF(A746&lt;=P1End,"Q1",IF(A746&lt;=P2End,"Q2",IF(A746&lt;=P3End,"Q3","Q4")))))</f>
        <v/>
      </c>
    </row>
    <row r="747">
      <c r="A747" s="17" t="n"/>
      <c r="D747" s="20" t="n"/>
      <c r="E747" s="19">
        <f>IF(A747="","",IF(OR(A747&lt;YearStart,A747&gt;YearEnd),"-",IF(A747&lt;=P1End,"Q1",IF(A747&lt;=P2End,"Q2",IF(A747&lt;=P3End,"Q3","Q4")))))</f>
        <v/>
      </c>
    </row>
    <row r="748">
      <c r="A748" s="17" t="n"/>
      <c r="D748" s="20" t="n"/>
      <c r="E748" s="19">
        <f>IF(A748="","",IF(OR(A748&lt;YearStart,A748&gt;YearEnd),"-",IF(A748&lt;=P1End,"Q1",IF(A748&lt;=P2End,"Q2",IF(A748&lt;=P3End,"Q3","Q4")))))</f>
        <v/>
      </c>
    </row>
    <row r="749">
      <c r="A749" s="17" t="n"/>
      <c r="D749" s="20" t="n"/>
      <c r="E749" s="19">
        <f>IF(A749="","",IF(OR(A749&lt;YearStart,A749&gt;YearEnd),"-",IF(A749&lt;=P1End,"Q1",IF(A749&lt;=P2End,"Q2",IF(A749&lt;=P3End,"Q3","Q4")))))</f>
        <v/>
      </c>
    </row>
    <row r="750">
      <c r="A750" s="17" t="n"/>
      <c r="D750" s="20" t="n"/>
      <c r="E750" s="19">
        <f>IF(A750="","",IF(OR(A750&lt;YearStart,A750&gt;YearEnd),"-",IF(A750&lt;=P1End,"Q1",IF(A750&lt;=P2End,"Q2",IF(A750&lt;=P3End,"Q3","Q4")))))</f>
        <v/>
      </c>
    </row>
    <row r="751">
      <c r="A751" s="17" t="n"/>
      <c r="D751" s="20" t="n"/>
      <c r="E751" s="19">
        <f>IF(A751="","",IF(OR(A751&lt;YearStart,A751&gt;YearEnd),"-",IF(A751&lt;=P1End,"Q1",IF(A751&lt;=P2End,"Q2",IF(A751&lt;=P3End,"Q3","Q4")))))</f>
        <v/>
      </c>
    </row>
    <row r="752">
      <c r="A752" s="17" t="n"/>
      <c r="D752" s="20" t="n"/>
      <c r="E752" s="19">
        <f>IF(A752="","",IF(OR(A752&lt;YearStart,A752&gt;YearEnd),"-",IF(A752&lt;=P1End,"Q1",IF(A752&lt;=P2End,"Q2",IF(A752&lt;=P3End,"Q3","Q4")))))</f>
        <v/>
      </c>
    </row>
    <row r="753">
      <c r="A753" s="17" t="n"/>
      <c r="D753" s="20" t="n"/>
      <c r="E753" s="19">
        <f>IF(A753="","",IF(OR(A753&lt;YearStart,A753&gt;YearEnd),"-",IF(A753&lt;=P1End,"Q1",IF(A753&lt;=P2End,"Q2",IF(A753&lt;=P3End,"Q3","Q4")))))</f>
        <v/>
      </c>
    </row>
    <row r="754">
      <c r="A754" s="17" t="n"/>
      <c r="D754" s="20" t="n"/>
      <c r="E754" s="19">
        <f>IF(A754="","",IF(OR(A754&lt;YearStart,A754&gt;YearEnd),"-",IF(A754&lt;=P1End,"Q1",IF(A754&lt;=P2End,"Q2",IF(A754&lt;=P3End,"Q3","Q4")))))</f>
        <v/>
      </c>
    </row>
    <row r="755">
      <c r="A755" s="17" t="n"/>
      <c r="D755" s="20" t="n"/>
      <c r="E755" s="19">
        <f>IF(A755="","",IF(OR(A755&lt;YearStart,A755&gt;YearEnd),"-",IF(A755&lt;=P1End,"Q1",IF(A755&lt;=P2End,"Q2",IF(A755&lt;=P3End,"Q3","Q4")))))</f>
        <v/>
      </c>
    </row>
    <row r="756">
      <c r="A756" s="17" t="n"/>
      <c r="D756" s="20" t="n"/>
      <c r="E756" s="19">
        <f>IF(A756="","",IF(OR(A756&lt;YearStart,A756&gt;YearEnd),"-",IF(A756&lt;=P1End,"Q1",IF(A756&lt;=P2End,"Q2",IF(A756&lt;=P3End,"Q3","Q4")))))</f>
        <v/>
      </c>
    </row>
    <row r="757">
      <c r="A757" s="17" t="n"/>
      <c r="D757" s="20" t="n"/>
      <c r="E757" s="19">
        <f>IF(A757="","",IF(OR(A757&lt;YearStart,A757&gt;YearEnd),"-",IF(A757&lt;=P1End,"Q1",IF(A757&lt;=P2End,"Q2",IF(A757&lt;=P3End,"Q3","Q4")))))</f>
        <v/>
      </c>
    </row>
    <row r="758">
      <c r="A758" s="17" t="n"/>
      <c r="D758" s="20" t="n"/>
      <c r="E758" s="19">
        <f>IF(A758="","",IF(OR(A758&lt;YearStart,A758&gt;YearEnd),"-",IF(A758&lt;=P1End,"Q1",IF(A758&lt;=P2End,"Q2",IF(A758&lt;=P3End,"Q3","Q4")))))</f>
        <v/>
      </c>
    </row>
    <row r="759">
      <c r="A759" s="17" t="n"/>
      <c r="D759" s="20" t="n"/>
      <c r="E759" s="19">
        <f>IF(A759="","",IF(OR(A759&lt;YearStart,A759&gt;YearEnd),"-",IF(A759&lt;=P1End,"Q1",IF(A759&lt;=P2End,"Q2",IF(A759&lt;=P3End,"Q3","Q4")))))</f>
        <v/>
      </c>
    </row>
    <row r="760">
      <c r="A760" s="17" t="n"/>
      <c r="D760" s="20" t="n"/>
      <c r="E760" s="19">
        <f>IF(A760="","",IF(OR(A760&lt;YearStart,A760&gt;YearEnd),"-",IF(A760&lt;=P1End,"Q1",IF(A760&lt;=P2End,"Q2",IF(A760&lt;=P3End,"Q3","Q4")))))</f>
        <v/>
      </c>
    </row>
    <row r="761">
      <c r="A761" s="17" t="n"/>
      <c r="D761" s="20" t="n"/>
      <c r="E761" s="19">
        <f>IF(A761="","",IF(OR(A761&lt;YearStart,A761&gt;YearEnd),"-",IF(A761&lt;=P1End,"Q1",IF(A761&lt;=P2End,"Q2",IF(A761&lt;=P3End,"Q3","Q4")))))</f>
        <v/>
      </c>
    </row>
    <row r="762">
      <c r="A762" s="17" t="n"/>
      <c r="D762" s="20" t="n"/>
      <c r="E762" s="19">
        <f>IF(A762="","",IF(OR(A762&lt;YearStart,A762&gt;YearEnd),"-",IF(A762&lt;=P1End,"Q1",IF(A762&lt;=P2End,"Q2",IF(A762&lt;=P3End,"Q3","Q4")))))</f>
        <v/>
      </c>
    </row>
    <row r="763">
      <c r="A763" s="17" t="n"/>
      <c r="D763" s="20" t="n"/>
      <c r="E763" s="19">
        <f>IF(A763="","",IF(OR(A763&lt;YearStart,A763&gt;YearEnd),"-",IF(A763&lt;=P1End,"Q1",IF(A763&lt;=P2End,"Q2",IF(A763&lt;=P3End,"Q3","Q4")))))</f>
        <v/>
      </c>
    </row>
    <row r="764">
      <c r="A764" s="17" t="n"/>
      <c r="D764" s="20" t="n"/>
      <c r="E764" s="19">
        <f>IF(A764="","",IF(OR(A764&lt;YearStart,A764&gt;YearEnd),"-",IF(A764&lt;=P1End,"Q1",IF(A764&lt;=P2End,"Q2",IF(A764&lt;=P3End,"Q3","Q4")))))</f>
        <v/>
      </c>
    </row>
    <row r="765">
      <c r="A765" s="17" t="n"/>
      <c r="D765" s="20" t="n"/>
      <c r="E765" s="19">
        <f>IF(A765="","",IF(OR(A765&lt;YearStart,A765&gt;YearEnd),"-",IF(A765&lt;=P1End,"Q1",IF(A765&lt;=P2End,"Q2",IF(A765&lt;=P3End,"Q3","Q4")))))</f>
        <v/>
      </c>
    </row>
    <row r="766">
      <c r="A766" s="17" t="n"/>
      <c r="D766" s="20" t="n"/>
      <c r="E766" s="19">
        <f>IF(A766="","",IF(OR(A766&lt;YearStart,A766&gt;YearEnd),"-",IF(A766&lt;=P1End,"Q1",IF(A766&lt;=P2End,"Q2",IF(A766&lt;=P3End,"Q3","Q4")))))</f>
        <v/>
      </c>
    </row>
    <row r="767">
      <c r="A767" s="17" t="n"/>
      <c r="D767" s="20" t="n"/>
      <c r="E767" s="19">
        <f>IF(A767="","",IF(OR(A767&lt;YearStart,A767&gt;YearEnd),"-",IF(A767&lt;=P1End,"Q1",IF(A767&lt;=P2End,"Q2",IF(A767&lt;=P3End,"Q3","Q4")))))</f>
        <v/>
      </c>
    </row>
    <row r="768">
      <c r="A768" s="17" t="n"/>
      <c r="D768" s="20" t="n"/>
      <c r="E768" s="19">
        <f>IF(A768="","",IF(OR(A768&lt;YearStart,A768&gt;YearEnd),"-",IF(A768&lt;=P1End,"Q1",IF(A768&lt;=P2End,"Q2",IF(A768&lt;=P3End,"Q3","Q4")))))</f>
        <v/>
      </c>
    </row>
    <row r="769">
      <c r="A769" s="17" t="n"/>
      <c r="D769" s="20" t="n"/>
      <c r="E769" s="19">
        <f>IF(A769="","",IF(OR(A769&lt;YearStart,A769&gt;YearEnd),"-",IF(A769&lt;=P1End,"Q1",IF(A769&lt;=P2End,"Q2",IF(A769&lt;=P3End,"Q3","Q4")))))</f>
        <v/>
      </c>
    </row>
    <row r="770">
      <c r="A770" s="17" t="n"/>
      <c r="D770" s="20" t="n"/>
      <c r="E770" s="19">
        <f>IF(A770="","",IF(OR(A770&lt;YearStart,A770&gt;YearEnd),"-",IF(A770&lt;=P1End,"Q1",IF(A770&lt;=P2End,"Q2",IF(A770&lt;=P3End,"Q3","Q4")))))</f>
        <v/>
      </c>
    </row>
    <row r="771">
      <c r="A771" s="17" t="n"/>
      <c r="D771" s="20" t="n"/>
      <c r="E771" s="19">
        <f>IF(A771="","",IF(OR(A771&lt;YearStart,A771&gt;YearEnd),"-",IF(A771&lt;=P1End,"Q1",IF(A771&lt;=P2End,"Q2",IF(A771&lt;=P3End,"Q3","Q4")))))</f>
        <v/>
      </c>
    </row>
    <row r="772">
      <c r="A772" s="17" t="n"/>
      <c r="D772" s="20" t="n"/>
      <c r="E772" s="19">
        <f>IF(A772="","",IF(OR(A772&lt;YearStart,A772&gt;YearEnd),"-",IF(A772&lt;=P1End,"Q1",IF(A772&lt;=P2End,"Q2",IF(A772&lt;=P3End,"Q3","Q4")))))</f>
        <v/>
      </c>
    </row>
    <row r="773">
      <c r="A773" s="17" t="n"/>
      <c r="D773" s="20" t="n"/>
      <c r="E773" s="19">
        <f>IF(A773="","",IF(OR(A773&lt;YearStart,A773&gt;YearEnd),"-",IF(A773&lt;=P1End,"Q1",IF(A773&lt;=P2End,"Q2",IF(A773&lt;=P3End,"Q3","Q4")))))</f>
        <v/>
      </c>
    </row>
    <row r="774">
      <c r="A774" s="17" t="n"/>
      <c r="D774" s="20" t="n"/>
      <c r="E774" s="19">
        <f>IF(A774="","",IF(OR(A774&lt;YearStart,A774&gt;YearEnd),"-",IF(A774&lt;=P1End,"Q1",IF(A774&lt;=P2End,"Q2",IF(A774&lt;=P3End,"Q3","Q4")))))</f>
        <v/>
      </c>
    </row>
    <row r="775">
      <c r="A775" s="17" t="n"/>
      <c r="D775" s="20" t="n"/>
      <c r="E775" s="19">
        <f>IF(A775="","",IF(OR(A775&lt;YearStart,A775&gt;YearEnd),"-",IF(A775&lt;=P1End,"Q1",IF(A775&lt;=P2End,"Q2",IF(A775&lt;=P3End,"Q3","Q4")))))</f>
        <v/>
      </c>
    </row>
    <row r="776">
      <c r="A776" s="17" t="n"/>
      <c r="D776" s="20" t="n"/>
      <c r="E776" s="19">
        <f>IF(A776="","",IF(OR(A776&lt;YearStart,A776&gt;YearEnd),"-",IF(A776&lt;=P1End,"Q1",IF(A776&lt;=P2End,"Q2",IF(A776&lt;=P3End,"Q3","Q4")))))</f>
        <v/>
      </c>
    </row>
    <row r="777">
      <c r="A777" s="17" t="n"/>
      <c r="D777" s="20" t="n"/>
      <c r="E777" s="19">
        <f>IF(A777="","",IF(OR(A777&lt;YearStart,A777&gt;YearEnd),"-",IF(A777&lt;=P1End,"Q1",IF(A777&lt;=P2End,"Q2",IF(A777&lt;=P3End,"Q3","Q4")))))</f>
        <v/>
      </c>
    </row>
    <row r="778">
      <c r="A778" s="17" t="n"/>
      <c r="D778" s="20" t="n"/>
      <c r="E778" s="19">
        <f>IF(A778="","",IF(OR(A778&lt;YearStart,A778&gt;YearEnd),"-",IF(A778&lt;=P1End,"Q1",IF(A778&lt;=P2End,"Q2",IF(A778&lt;=P3End,"Q3","Q4")))))</f>
        <v/>
      </c>
    </row>
    <row r="779">
      <c r="A779" s="17" t="n"/>
      <c r="D779" s="20" t="n"/>
      <c r="E779" s="19">
        <f>IF(A779="","",IF(OR(A779&lt;YearStart,A779&gt;YearEnd),"-",IF(A779&lt;=P1End,"Q1",IF(A779&lt;=P2End,"Q2",IF(A779&lt;=P3End,"Q3","Q4")))))</f>
        <v/>
      </c>
    </row>
    <row r="780">
      <c r="A780" s="17" t="n"/>
      <c r="D780" s="20" t="n"/>
      <c r="E780" s="19">
        <f>IF(A780="","",IF(OR(A780&lt;YearStart,A780&gt;YearEnd),"-",IF(A780&lt;=P1End,"Q1",IF(A780&lt;=P2End,"Q2",IF(A780&lt;=P3End,"Q3","Q4")))))</f>
        <v/>
      </c>
    </row>
    <row r="781">
      <c r="A781" s="17" t="n"/>
      <c r="D781" s="20" t="n"/>
      <c r="E781" s="19">
        <f>IF(A781="","",IF(OR(A781&lt;YearStart,A781&gt;YearEnd),"-",IF(A781&lt;=P1End,"Q1",IF(A781&lt;=P2End,"Q2",IF(A781&lt;=P3End,"Q3","Q4")))))</f>
        <v/>
      </c>
    </row>
    <row r="782">
      <c r="A782" s="17" t="n"/>
      <c r="D782" s="20" t="n"/>
      <c r="E782" s="19">
        <f>IF(A782="","",IF(OR(A782&lt;YearStart,A782&gt;YearEnd),"-",IF(A782&lt;=P1End,"Q1",IF(A782&lt;=P2End,"Q2",IF(A782&lt;=P3End,"Q3","Q4")))))</f>
        <v/>
      </c>
    </row>
    <row r="783">
      <c r="A783" s="17" t="n"/>
      <c r="D783" s="20" t="n"/>
      <c r="E783" s="19">
        <f>IF(A783="","",IF(OR(A783&lt;YearStart,A783&gt;YearEnd),"-",IF(A783&lt;=P1End,"Q1",IF(A783&lt;=P2End,"Q2",IF(A783&lt;=P3End,"Q3","Q4")))))</f>
        <v/>
      </c>
    </row>
    <row r="784">
      <c r="A784" s="17" t="n"/>
      <c r="D784" s="20" t="n"/>
      <c r="E784" s="19">
        <f>IF(A784="","",IF(OR(A784&lt;YearStart,A784&gt;YearEnd),"-",IF(A784&lt;=P1End,"Q1",IF(A784&lt;=P2End,"Q2",IF(A784&lt;=P3End,"Q3","Q4")))))</f>
        <v/>
      </c>
    </row>
    <row r="785">
      <c r="A785" s="17" t="n"/>
      <c r="D785" s="20" t="n"/>
      <c r="E785" s="19">
        <f>IF(A785="","",IF(OR(A785&lt;YearStart,A785&gt;YearEnd),"-",IF(A785&lt;=P1End,"Q1",IF(A785&lt;=P2End,"Q2",IF(A785&lt;=P3End,"Q3","Q4")))))</f>
        <v/>
      </c>
    </row>
    <row r="786">
      <c r="A786" s="17" t="n"/>
      <c r="D786" s="20" t="n"/>
      <c r="E786" s="19">
        <f>IF(A786="","",IF(OR(A786&lt;YearStart,A786&gt;YearEnd),"-",IF(A786&lt;=P1End,"Q1",IF(A786&lt;=P2End,"Q2",IF(A786&lt;=P3End,"Q3","Q4")))))</f>
        <v/>
      </c>
    </row>
    <row r="787">
      <c r="A787" s="17" t="n"/>
      <c r="D787" s="20" t="n"/>
      <c r="E787" s="19">
        <f>IF(A787="","",IF(OR(A787&lt;YearStart,A787&gt;YearEnd),"-",IF(A787&lt;=P1End,"Q1",IF(A787&lt;=P2End,"Q2",IF(A787&lt;=P3End,"Q3","Q4")))))</f>
        <v/>
      </c>
    </row>
    <row r="788">
      <c r="A788" s="17" t="n"/>
      <c r="D788" s="20" t="n"/>
      <c r="E788" s="19">
        <f>IF(A788="","",IF(OR(A788&lt;YearStart,A788&gt;YearEnd),"-",IF(A788&lt;=P1End,"Q1",IF(A788&lt;=P2End,"Q2",IF(A788&lt;=P3End,"Q3","Q4")))))</f>
        <v/>
      </c>
    </row>
    <row r="789">
      <c r="A789" s="17" t="n"/>
      <c r="D789" s="20" t="n"/>
      <c r="E789" s="19">
        <f>IF(A789="","",IF(OR(A789&lt;YearStart,A789&gt;YearEnd),"-",IF(A789&lt;=P1End,"Q1",IF(A789&lt;=P2End,"Q2",IF(A789&lt;=P3End,"Q3","Q4")))))</f>
        <v/>
      </c>
    </row>
    <row r="790">
      <c r="A790" s="17" t="n"/>
      <c r="D790" s="20" t="n"/>
      <c r="E790" s="19">
        <f>IF(A790="","",IF(OR(A790&lt;YearStart,A790&gt;YearEnd),"-",IF(A790&lt;=P1End,"Q1",IF(A790&lt;=P2End,"Q2",IF(A790&lt;=P3End,"Q3","Q4")))))</f>
        <v/>
      </c>
    </row>
    <row r="791">
      <c r="A791" s="17" t="n"/>
      <c r="D791" s="20" t="n"/>
      <c r="E791" s="19">
        <f>IF(A791="","",IF(OR(A791&lt;YearStart,A791&gt;YearEnd),"-",IF(A791&lt;=P1End,"Q1",IF(A791&lt;=P2End,"Q2",IF(A791&lt;=P3End,"Q3","Q4")))))</f>
        <v/>
      </c>
    </row>
    <row r="792">
      <c r="A792" s="17" t="n"/>
      <c r="D792" s="20" t="n"/>
      <c r="E792" s="19">
        <f>IF(A792="","",IF(OR(A792&lt;YearStart,A792&gt;YearEnd),"-",IF(A792&lt;=P1End,"Q1",IF(A792&lt;=P2End,"Q2",IF(A792&lt;=P3End,"Q3","Q4")))))</f>
        <v/>
      </c>
    </row>
    <row r="793">
      <c r="A793" s="17" t="n"/>
      <c r="D793" s="20" t="n"/>
      <c r="E793" s="19">
        <f>IF(A793="","",IF(OR(A793&lt;YearStart,A793&gt;YearEnd),"-",IF(A793&lt;=P1End,"Q1",IF(A793&lt;=P2End,"Q2",IF(A793&lt;=P3End,"Q3","Q4")))))</f>
        <v/>
      </c>
    </row>
    <row r="794">
      <c r="A794" s="17" t="n"/>
      <c r="D794" s="20" t="n"/>
      <c r="E794" s="19">
        <f>IF(A794="","",IF(OR(A794&lt;YearStart,A794&gt;YearEnd),"-",IF(A794&lt;=P1End,"Q1",IF(A794&lt;=P2End,"Q2",IF(A794&lt;=P3End,"Q3","Q4")))))</f>
        <v/>
      </c>
    </row>
    <row r="795">
      <c r="A795" s="17" t="n"/>
      <c r="D795" s="20" t="n"/>
      <c r="E795" s="19">
        <f>IF(A795="","",IF(OR(A795&lt;YearStart,A795&gt;YearEnd),"-",IF(A795&lt;=P1End,"Q1",IF(A795&lt;=P2End,"Q2",IF(A795&lt;=P3End,"Q3","Q4")))))</f>
        <v/>
      </c>
    </row>
    <row r="796">
      <c r="A796" s="17" t="n"/>
      <c r="D796" s="20" t="n"/>
      <c r="E796" s="19">
        <f>IF(A796="","",IF(OR(A796&lt;YearStart,A796&gt;YearEnd),"-",IF(A796&lt;=P1End,"Q1",IF(A796&lt;=P2End,"Q2",IF(A796&lt;=P3End,"Q3","Q4")))))</f>
        <v/>
      </c>
    </row>
    <row r="797">
      <c r="A797" s="17" t="n"/>
      <c r="D797" s="20" t="n"/>
      <c r="E797" s="19">
        <f>IF(A797="","",IF(OR(A797&lt;YearStart,A797&gt;YearEnd),"-",IF(A797&lt;=P1End,"Q1",IF(A797&lt;=P2End,"Q2",IF(A797&lt;=P3End,"Q3","Q4")))))</f>
        <v/>
      </c>
    </row>
    <row r="798">
      <c r="A798" s="17" t="n"/>
      <c r="D798" s="20" t="n"/>
      <c r="E798" s="19">
        <f>IF(A798="","",IF(OR(A798&lt;YearStart,A798&gt;YearEnd),"-",IF(A798&lt;=P1End,"Q1",IF(A798&lt;=P2End,"Q2",IF(A798&lt;=P3End,"Q3","Q4")))))</f>
        <v/>
      </c>
    </row>
    <row r="799">
      <c r="A799" s="17" t="n"/>
      <c r="D799" s="20" t="n"/>
      <c r="E799" s="19">
        <f>IF(A799="","",IF(OR(A799&lt;YearStart,A799&gt;YearEnd),"-",IF(A799&lt;=P1End,"Q1",IF(A799&lt;=P2End,"Q2",IF(A799&lt;=P3End,"Q3","Q4")))))</f>
        <v/>
      </c>
    </row>
    <row r="800">
      <c r="A800" s="17" t="n"/>
      <c r="D800" s="20" t="n"/>
      <c r="E800" s="19">
        <f>IF(A800="","",IF(OR(A800&lt;YearStart,A800&gt;YearEnd),"-",IF(A800&lt;=P1End,"Q1",IF(A800&lt;=P2End,"Q2",IF(A800&lt;=P3End,"Q3","Q4")))))</f>
        <v/>
      </c>
    </row>
    <row r="801">
      <c r="A801" s="17" t="n"/>
      <c r="D801" s="20" t="n"/>
      <c r="E801" s="19">
        <f>IF(A801="","",IF(OR(A801&lt;YearStart,A801&gt;YearEnd),"-",IF(A801&lt;=P1End,"Q1",IF(A801&lt;=P2End,"Q2",IF(A801&lt;=P3End,"Q3","Q4")))))</f>
        <v/>
      </c>
    </row>
    <row r="802">
      <c r="A802" s="17" t="n"/>
      <c r="D802" s="20" t="n"/>
      <c r="E802" s="19">
        <f>IF(A802="","",IF(OR(A802&lt;YearStart,A802&gt;YearEnd),"-",IF(A802&lt;=P1End,"Q1",IF(A802&lt;=P2End,"Q2",IF(A802&lt;=P3End,"Q3","Q4")))))</f>
        <v/>
      </c>
    </row>
    <row r="803">
      <c r="A803" s="17" t="n"/>
      <c r="D803" s="20" t="n"/>
      <c r="E803" s="19">
        <f>IF(A803="","",IF(OR(A803&lt;YearStart,A803&gt;YearEnd),"-",IF(A803&lt;=P1End,"Q1",IF(A803&lt;=P2End,"Q2",IF(A803&lt;=P3End,"Q3","Q4")))))</f>
        <v/>
      </c>
    </row>
    <row r="804">
      <c r="A804" s="17" t="n"/>
      <c r="D804" s="20" t="n"/>
      <c r="E804" s="19">
        <f>IF(A804="","",IF(OR(A804&lt;YearStart,A804&gt;YearEnd),"-",IF(A804&lt;=P1End,"Q1",IF(A804&lt;=P2End,"Q2",IF(A804&lt;=P3End,"Q3","Q4")))))</f>
        <v/>
      </c>
    </row>
    <row r="805">
      <c r="A805" s="17" t="n"/>
      <c r="D805" s="20" t="n"/>
      <c r="E805" s="19">
        <f>IF(A805="","",IF(OR(A805&lt;YearStart,A805&gt;YearEnd),"-",IF(A805&lt;=P1End,"Q1",IF(A805&lt;=P2End,"Q2",IF(A805&lt;=P3End,"Q3","Q4")))))</f>
        <v/>
      </c>
    </row>
    <row r="806">
      <c r="A806" s="17" t="n"/>
      <c r="D806" s="20" t="n"/>
      <c r="E806" s="19">
        <f>IF(A806="","",IF(OR(A806&lt;YearStart,A806&gt;YearEnd),"-",IF(A806&lt;=P1End,"Q1",IF(A806&lt;=P2End,"Q2",IF(A806&lt;=P3End,"Q3","Q4")))))</f>
        <v/>
      </c>
    </row>
    <row r="807">
      <c r="A807" s="17" t="n"/>
      <c r="D807" s="20" t="n"/>
      <c r="E807" s="19">
        <f>IF(A807="","",IF(OR(A807&lt;YearStart,A807&gt;YearEnd),"-",IF(A807&lt;=P1End,"Q1",IF(A807&lt;=P2End,"Q2",IF(A807&lt;=P3End,"Q3","Q4")))))</f>
        <v/>
      </c>
    </row>
    <row r="808">
      <c r="A808" s="17" t="n"/>
      <c r="D808" s="20" t="n"/>
      <c r="E808" s="19">
        <f>IF(A808="","",IF(OR(A808&lt;YearStart,A808&gt;YearEnd),"-",IF(A808&lt;=P1End,"Q1",IF(A808&lt;=P2End,"Q2",IF(A808&lt;=P3End,"Q3","Q4")))))</f>
        <v/>
      </c>
    </row>
    <row r="809">
      <c r="A809" s="17" t="n"/>
      <c r="D809" s="20" t="n"/>
      <c r="E809" s="19">
        <f>IF(A809="","",IF(OR(A809&lt;YearStart,A809&gt;YearEnd),"-",IF(A809&lt;=P1End,"Q1",IF(A809&lt;=P2End,"Q2",IF(A809&lt;=P3End,"Q3","Q4")))))</f>
        <v/>
      </c>
    </row>
    <row r="810">
      <c r="A810" s="17" t="n"/>
      <c r="D810" s="20" t="n"/>
      <c r="E810" s="19">
        <f>IF(A810="","",IF(OR(A810&lt;YearStart,A810&gt;YearEnd),"-",IF(A810&lt;=P1End,"Q1",IF(A810&lt;=P2End,"Q2",IF(A810&lt;=P3End,"Q3","Q4")))))</f>
        <v/>
      </c>
    </row>
    <row r="811">
      <c r="A811" s="17" t="n"/>
      <c r="D811" s="20" t="n"/>
      <c r="E811" s="19">
        <f>IF(A811="","",IF(OR(A811&lt;YearStart,A811&gt;YearEnd),"-",IF(A811&lt;=P1End,"Q1",IF(A811&lt;=P2End,"Q2",IF(A811&lt;=P3End,"Q3","Q4")))))</f>
        <v/>
      </c>
    </row>
    <row r="812">
      <c r="A812" s="17" t="n"/>
      <c r="D812" s="20" t="n"/>
      <c r="E812" s="19">
        <f>IF(A812="","",IF(OR(A812&lt;YearStart,A812&gt;YearEnd),"-",IF(A812&lt;=P1End,"Q1",IF(A812&lt;=P2End,"Q2",IF(A812&lt;=P3End,"Q3","Q4")))))</f>
        <v/>
      </c>
    </row>
    <row r="813">
      <c r="A813" s="17" t="n"/>
      <c r="D813" s="20" t="n"/>
      <c r="E813" s="19">
        <f>IF(A813="","",IF(OR(A813&lt;YearStart,A813&gt;YearEnd),"-",IF(A813&lt;=P1End,"Q1",IF(A813&lt;=P2End,"Q2",IF(A813&lt;=P3End,"Q3","Q4")))))</f>
        <v/>
      </c>
    </row>
    <row r="814">
      <c r="A814" s="17" t="n"/>
      <c r="D814" s="20" t="n"/>
      <c r="E814" s="19">
        <f>IF(A814="","",IF(OR(A814&lt;YearStart,A814&gt;YearEnd),"-",IF(A814&lt;=P1End,"Q1",IF(A814&lt;=P2End,"Q2",IF(A814&lt;=P3End,"Q3","Q4")))))</f>
        <v/>
      </c>
    </row>
    <row r="815">
      <c r="A815" s="17" t="n"/>
      <c r="D815" s="20" t="n"/>
      <c r="E815" s="19">
        <f>IF(A815="","",IF(OR(A815&lt;YearStart,A815&gt;YearEnd),"-",IF(A815&lt;=P1End,"Q1",IF(A815&lt;=P2End,"Q2",IF(A815&lt;=P3End,"Q3","Q4")))))</f>
        <v/>
      </c>
    </row>
    <row r="816">
      <c r="A816" s="17" t="n"/>
      <c r="D816" s="20" t="n"/>
      <c r="E816" s="19">
        <f>IF(A816="","",IF(OR(A816&lt;YearStart,A816&gt;YearEnd),"-",IF(A816&lt;=P1End,"Q1",IF(A816&lt;=P2End,"Q2",IF(A816&lt;=P3End,"Q3","Q4")))))</f>
        <v/>
      </c>
    </row>
    <row r="817">
      <c r="A817" s="17" t="n"/>
      <c r="D817" s="20" t="n"/>
      <c r="E817" s="19">
        <f>IF(A817="","",IF(OR(A817&lt;YearStart,A817&gt;YearEnd),"-",IF(A817&lt;=P1End,"Q1",IF(A817&lt;=P2End,"Q2",IF(A817&lt;=P3End,"Q3","Q4")))))</f>
        <v/>
      </c>
    </row>
    <row r="818">
      <c r="A818" s="17" t="n"/>
      <c r="D818" s="20" t="n"/>
      <c r="E818" s="19">
        <f>IF(A818="","",IF(OR(A818&lt;YearStart,A818&gt;YearEnd),"-",IF(A818&lt;=P1End,"Q1",IF(A818&lt;=P2End,"Q2",IF(A818&lt;=P3End,"Q3","Q4")))))</f>
        <v/>
      </c>
    </row>
    <row r="819">
      <c r="A819" s="17" t="n"/>
      <c r="D819" s="20" t="n"/>
      <c r="E819" s="19">
        <f>IF(A819="","",IF(OR(A819&lt;YearStart,A819&gt;YearEnd),"-",IF(A819&lt;=P1End,"Q1",IF(A819&lt;=P2End,"Q2",IF(A819&lt;=P3End,"Q3","Q4")))))</f>
        <v/>
      </c>
    </row>
    <row r="820">
      <c r="A820" s="17" t="n"/>
      <c r="D820" s="20" t="n"/>
      <c r="E820" s="19">
        <f>IF(A820="","",IF(OR(A820&lt;YearStart,A820&gt;YearEnd),"-",IF(A820&lt;=P1End,"Q1",IF(A820&lt;=P2End,"Q2",IF(A820&lt;=P3End,"Q3","Q4")))))</f>
        <v/>
      </c>
    </row>
    <row r="821">
      <c r="A821" s="17" t="n"/>
      <c r="D821" s="20" t="n"/>
      <c r="E821" s="19">
        <f>IF(A821="","",IF(OR(A821&lt;YearStart,A821&gt;YearEnd),"-",IF(A821&lt;=P1End,"Q1",IF(A821&lt;=P2End,"Q2",IF(A821&lt;=P3End,"Q3","Q4")))))</f>
        <v/>
      </c>
    </row>
    <row r="822">
      <c r="A822" s="17" t="n"/>
      <c r="D822" s="20" t="n"/>
      <c r="E822" s="19">
        <f>IF(A822="","",IF(OR(A822&lt;YearStart,A822&gt;YearEnd),"-",IF(A822&lt;=P1End,"Q1",IF(A822&lt;=P2End,"Q2",IF(A822&lt;=P3End,"Q3","Q4")))))</f>
        <v/>
      </c>
    </row>
    <row r="823">
      <c r="A823" s="17" t="n"/>
      <c r="D823" s="20" t="n"/>
      <c r="E823" s="19">
        <f>IF(A823="","",IF(OR(A823&lt;YearStart,A823&gt;YearEnd),"-",IF(A823&lt;=P1End,"Q1",IF(A823&lt;=P2End,"Q2",IF(A823&lt;=P3End,"Q3","Q4")))))</f>
        <v/>
      </c>
    </row>
    <row r="824">
      <c r="A824" s="17" t="n"/>
      <c r="D824" s="20" t="n"/>
      <c r="E824" s="19">
        <f>IF(A824="","",IF(OR(A824&lt;YearStart,A824&gt;YearEnd),"-",IF(A824&lt;=P1End,"Q1",IF(A824&lt;=P2End,"Q2",IF(A824&lt;=P3End,"Q3","Q4")))))</f>
        <v/>
      </c>
    </row>
    <row r="825">
      <c r="A825" s="17" t="n"/>
      <c r="D825" s="20" t="n"/>
      <c r="E825" s="19">
        <f>IF(A825="","",IF(OR(A825&lt;YearStart,A825&gt;YearEnd),"-",IF(A825&lt;=P1End,"Q1",IF(A825&lt;=P2End,"Q2",IF(A825&lt;=P3End,"Q3","Q4")))))</f>
        <v/>
      </c>
    </row>
    <row r="826">
      <c r="A826" s="17" t="n"/>
      <c r="D826" s="20" t="n"/>
      <c r="E826" s="19">
        <f>IF(A826="","",IF(OR(A826&lt;YearStart,A826&gt;YearEnd),"-",IF(A826&lt;=P1End,"Q1",IF(A826&lt;=P2End,"Q2",IF(A826&lt;=P3End,"Q3","Q4")))))</f>
        <v/>
      </c>
    </row>
    <row r="827">
      <c r="A827" s="17" t="n"/>
      <c r="D827" s="20" t="n"/>
      <c r="E827" s="19">
        <f>IF(A827="","",IF(OR(A827&lt;YearStart,A827&gt;YearEnd),"-",IF(A827&lt;=P1End,"Q1",IF(A827&lt;=P2End,"Q2",IF(A827&lt;=P3End,"Q3","Q4")))))</f>
        <v/>
      </c>
    </row>
    <row r="828">
      <c r="A828" s="17" t="n"/>
      <c r="D828" s="20" t="n"/>
      <c r="E828" s="19">
        <f>IF(A828="","",IF(OR(A828&lt;YearStart,A828&gt;YearEnd),"-",IF(A828&lt;=P1End,"Q1",IF(A828&lt;=P2End,"Q2",IF(A828&lt;=P3End,"Q3","Q4")))))</f>
        <v/>
      </c>
    </row>
    <row r="829">
      <c r="A829" s="17" t="n"/>
      <c r="D829" s="20" t="n"/>
      <c r="E829" s="19">
        <f>IF(A829="","",IF(OR(A829&lt;YearStart,A829&gt;YearEnd),"-",IF(A829&lt;=P1End,"Q1",IF(A829&lt;=P2End,"Q2",IF(A829&lt;=P3End,"Q3","Q4")))))</f>
        <v/>
      </c>
    </row>
    <row r="830">
      <c r="A830" s="17" t="n"/>
      <c r="D830" s="20" t="n"/>
      <c r="E830" s="19">
        <f>IF(A830="","",IF(OR(A830&lt;YearStart,A830&gt;YearEnd),"-",IF(A830&lt;=P1End,"Q1",IF(A830&lt;=P2End,"Q2",IF(A830&lt;=P3End,"Q3","Q4")))))</f>
        <v/>
      </c>
    </row>
    <row r="831">
      <c r="A831" s="17" t="n"/>
      <c r="D831" s="20" t="n"/>
      <c r="E831" s="19">
        <f>IF(A831="","",IF(OR(A831&lt;YearStart,A831&gt;YearEnd),"-",IF(A831&lt;=P1End,"Q1",IF(A831&lt;=P2End,"Q2",IF(A831&lt;=P3End,"Q3","Q4")))))</f>
        <v/>
      </c>
    </row>
    <row r="832">
      <c r="A832" s="17" t="n"/>
      <c r="D832" s="20" t="n"/>
      <c r="E832" s="19">
        <f>IF(A832="","",IF(OR(A832&lt;YearStart,A832&gt;YearEnd),"-",IF(A832&lt;=P1End,"Q1",IF(A832&lt;=P2End,"Q2",IF(A832&lt;=P3End,"Q3","Q4")))))</f>
        <v/>
      </c>
    </row>
    <row r="833">
      <c r="A833" s="17" t="n"/>
      <c r="D833" s="20" t="n"/>
      <c r="E833" s="19">
        <f>IF(A833="","",IF(OR(A833&lt;YearStart,A833&gt;YearEnd),"-",IF(A833&lt;=P1End,"Q1",IF(A833&lt;=P2End,"Q2",IF(A833&lt;=P3End,"Q3","Q4")))))</f>
        <v/>
      </c>
    </row>
    <row r="834">
      <c r="A834" s="17" t="n"/>
      <c r="D834" s="20" t="n"/>
      <c r="E834" s="19">
        <f>IF(A834="","",IF(OR(A834&lt;YearStart,A834&gt;YearEnd),"-",IF(A834&lt;=P1End,"Q1",IF(A834&lt;=P2End,"Q2",IF(A834&lt;=P3End,"Q3","Q4")))))</f>
        <v/>
      </c>
    </row>
    <row r="835">
      <c r="A835" s="17" t="n"/>
      <c r="D835" s="20" t="n"/>
      <c r="E835" s="19">
        <f>IF(A835="","",IF(OR(A835&lt;YearStart,A835&gt;YearEnd),"-",IF(A835&lt;=P1End,"Q1",IF(A835&lt;=P2End,"Q2",IF(A835&lt;=P3End,"Q3","Q4")))))</f>
        <v/>
      </c>
    </row>
    <row r="836">
      <c r="A836" s="17" t="n"/>
      <c r="D836" s="20" t="n"/>
      <c r="E836" s="19">
        <f>IF(A836="","",IF(OR(A836&lt;YearStart,A836&gt;YearEnd),"-",IF(A836&lt;=P1End,"Q1",IF(A836&lt;=P2End,"Q2",IF(A836&lt;=P3End,"Q3","Q4")))))</f>
        <v/>
      </c>
    </row>
    <row r="837">
      <c r="A837" s="17" t="n"/>
      <c r="D837" s="20" t="n"/>
      <c r="E837" s="19">
        <f>IF(A837="","",IF(OR(A837&lt;YearStart,A837&gt;YearEnd),"-",IF(A837&lt;=P1End,"Q1",IF(A837&lt;=P2End,"Q2",IF(A837&lt;=P3End,"Q3","Q4")))))</f>
        <v/>
      </c>
    </row>
    <row r="838">
      <c r="A838" s="17" t="n"/>
      <c r="D838" s="20" t="n"/>
      <c r="E838" s="19">
        <f>IF(A838="","",IF(OR(A838&lt;YearStart,A838&gt;YearEnd),"-",IF(A838&lt;=P1End,"Q1",IF(A838&lt;=P2End,"Q2",IF(A838&lt;=P3End,"Q3","Q4")))))</f>
        <v/>
      </c>
    </row>
    <row r="839">
      <c r="A839" s="17" t="n"/>
      <c r="D839" s="20" t="n"/>
      <c r="E839" s="19">
        <f>IF(A839="","",IF(OR(A839&lt;YearStart,A839&gt;YearEnd),"-",IF(A839&lt;=P1End,"Q1",IF(A839&lt;=P2End,"Q2",IF(A839&lt;=P3End,"Q3","Q4")))))</f>
        <v/>
      </c>
    </row>
    <row r="840">
      <c r="A840" s="17" t="n"/>
      <c r="D840" s="20" t="n"/>
      <c r="E840" s="19">
        <f>IF(A840="","",IF(OR(A840&lt;YearStart,A840&gt;YearEnd),"-",IF(A840&lt;=P1End,"Q1",IF(A840&lt;=P2End,"Q2",IF(A840&lt;=P3End,"Q3","Q4")))))</f>
        <v/>
      </c>
    </row>
    <row r="841">
      <c r="A841" s="17" t="n"/>
      <c r="D841" s="20" t="n"/>
      <c r="E841" s="19">
        <f>IF(A841="","",IF(OR(A841&lt;YearStart,A841&gt;YearEnd),"-",IF(A841&lt;=P1End,"Q1",IF(A841&lt;=P2End,"Q2",IF(A841&lt;=P3End,"Q3","Q4")))))</f>
        <v/>
      </c>
    </row>
    <row r="842">
      <c r="A842" s="17" t="n"/>
      <c r="D842" s="20" t="n"/>
      <c r="E842" s="19">
        <f>IF(A842="","",IF(OR(A842&lt;YearStart,A842&gt;YearEnd),"-",IF(A842&lt;=P1End,"Q1",IF(A842&lt;=P2End,"Q2",IF(A842&lt;=P3End,"Q3","Q4")))))</f>
        <v/>
      </c>
    </row>
    <row r="843">
      <c r="A843" s="17" t="n"/>
      <c r="D843" s="20" t="n"/>
      <c r="E843" s="19">
        <f>IF(A843="","",IF(OR(A843&lt;YearStart,A843&gt;YearEnd),"-",IF(A843&lt;=P1End,"Q1",IF(A843&lt;=P2End,"Q2",IF(A843&lt;=P3End,"Q3","Q4")))))</f>
        <v/>
      </c>
    </row>
    <row r="844">
      <c r="A844" s="17" t="n"/>
      <c r="D844" s="20" t="n"/>
      <c r="E844" s="19">
        <f>IF(A844="","",IF(OR(A844&lt;YearStart,A844&gt;YearEnd),"-",IF(A844&lt;=P1End,"Q1",IF(A844&lt;=P2End,"Q2",IF(A844&lt;=P3End,"Q3","Q4")))))</f>
        <v/>
      </c>
    </row>
    <row r="845">
      <c r="A845" s="17" t="n"/>
      <c r="D845" s="20" t="n"/>
      <c r="E845" s="19">
        <f>IF(A845="","",IF(OR(A845&lt;YearStart,A845&gt;YearEnd),"-",IF(A845&lt;=P1End,"Q1",IF(A845&lt;=P2End,"Q2",IF(A845&lt;=P3End,"Q3","Q4")))))</f>
        <v/>
      </c>
    </row>
    <row r="846">
      <c r="A846" s="17" t="n"/>
      <c r="D846" s="20" t="n"/>
      <c r="E846" s="19">
        <f>IF(A846="","",IF(OR(A846&lt;YearStart,A846&gt;YearEnd),"-",IF(A846&lt;=P1End,"Q1",IF(A846&lt;=P2End,"Q2",IF(A846&lt;=P3End,"Q3","Q4")))))</f>
        <v/>
      </c>
    </row>
    <row r="847">
      <c r="A847" s="17" t="n"/>
      <c r="D847" s="20" t="n"/>
      <c r="E847" s="19">
        <f>IF(A847="","",IF(OR(A847&lt;YearStart,A847&gt;YearEnd),"-",IF(A847&lt;=P1End,"Q1",IF(A847&lt;=P2End,"Q2",IF(A847&lt;=P3End,"Q3","Q4")))))</f>
        <v/>
      </c>
    </row>
    <row r="848">
      <c r="A848" s="17" t="n"/>
      <c r="D848" s="20" t="n"/>
      <c r="E848" s="19">
        <f>IF(A848="","",IF(OR(A848&lt;YearStart,A848&gt;YearEnd),"-",IF(A848&lt;=P1End,"Q1",IF(A848&lt;=P2End,"Q2",IF(A848&lt;=P3End,"Q3","Q4")))))</f>
        <v/>
      </c>
    </row>
    <row r="849">
      <c r="A849" s="17" t="n"/>
      <c r="D849" s="20" t="n"/>
      <c r="E849" s="19">
        <f>IF(A849="","",IF(OR(A849&lt;YearStart,A849&gt;YearEnd),"-",IF(A849&lt;=P1End,"Q1",IF(A849&lt;=P2End,"Q2",IF(A849&lt;=P3End,"Q3","Q4")))))</f>
        <v/>
      </c>
    </row>
    <row r="850">
      <c r="A850" s="17" t="n"/>
      <c r="D850" s="20" t="n"/>
      <c r="E850" s="19">
        <f>IF(A850="","",IF(OR(A850&lt;YearStart,A850&gt;YearEnd),"-",IF(A850&lt;=P1End,"Q1",IF(A850&lt;=P2End,"Q2",IF(A850&lt;=P3End,"Q3","Q4")))))</f>
        <v/>
      </c>
    </row>
    <row r="851">
      <c r="A851" s="17" t="n"/>
      <c r="D851" s="20" t="n"/>
      <c r="E851" s="19">
        <f>IF(A851="","",IF(OR(A851&lt;YearStart,A851&gt;YearEnd),"-",IF(A851&lt;=P1End,"Q1",IF(A851&lt;=P2End,"Q2",IF(A851&lt;=P3End,"Q3","Q4")))))</f>
        <v/>
      </c>
    </row>
    <row r="852">
      <c r="A852" s="17" t="n"/>
      <c r="D852" s="20" t="n"/>
      <c r="E852" s="19">
        <f>IF(A852="","",IF(OR(A852&lt;YearStart,A852&gt;YearEnd),"-",IF(A852&lt;=P1End,"Q1",IF(A852&lt;=P2End,"Q2",IF(A852&lt;=P3End,"Q3","Q4")))))</f>
        <v/>
      </c>
    </row>
    <row r="853">
      <c r="A853" s="17" t="n"/>
      <c r="D853" s="20" t="n"/>
      <c r="E853" s="19">
        <f>IF(A853="","",IF(OR(A853&lt;YearStart,A853&gt;YearEnd),"-",IF(A853&lt;=P1End,"Q1",IF(A853&lt;=P2End,"Q2",IF(A853&lt;=P3End,"Q3","Q4")))))</f>
        <v/>
      </c>
    </row>
    <row r="854">
      <c r="A854" s="17" t="n"/>
      <c r="D854" s="20" t="n"/>
      <c r="E854" s="19">
        <f>IF(A854="","",IF(OR(A854&lt;YearStart,A854&gt;YearEnd),"-",IF(A854&lt;=P1End,"Q1",IF(A854&lt;=P2End,"Q2",IF(A854&lt;=P3End,"Q3","Q4")))))</f>
        <v/>
      </c>
    </row>
    <row r="855">
      <c r="A855" s="17" t="n"/>
      <c r="D855" s="20" t="n"/>
      <c r="E855" s="19">
        <f>IF(A855="","",IF(OR(A855&lt;YearStart,A855&gt;YearEnd),"-",IF(A855&lt;=P1End,"Q1",IF(A855&lt;=P2End,"Q2",IF(A855&lt;=P3End,"Q3","Q4")))))</f>
        <v/>
      </c>
    </row>
    <row r="856">
      <c r="A856" s="17" t="n"/>
      <c r="D856" s="20" t="n"/>
      <c r="E856" s="19">
        <f>IF(A856="","",IF(OR(A856&lt;YearStart,A856&gt;YearEnd),"-",IF(A856&lt;=P1End,"Q1",IF(A856&lt;=P2End,"Q2",IF(A856&lt;=P3End,"Q3","Q4")))))</f>
        <v/>
      </c>
    </row>
    <row r="857">
      <c r="A857" s="17" t="n"/>
      <c r="D857" s="20" t="n"/>
      <c r="E857" s="19">
        <f>IF(A857="","",IF(OR(A857&lt;YearStart,A857&gt;YearEnd),"-",IF(A857&lt;=P1End,"Q1",IF(A857&lt;=P2End,"Q2",IF(A857&lt;=P3End,"Q3","Q4")))))</f>
        <v/>
      </c>
    </row>
    <row r="858">
      <c r="A858" s="17" t="n"/>
      <c r="D858" s="20" t="n"/>
      <c r="E858" s="19">
        <f>IF(A858="","",IF(OR(A858&lt;YearStart,A858&gt;YearEnd),"-",IF(A858&lt;=P1End,"Q1",IF(A858&lt;=P2End,"Q2",IF(A858&lt;=P3End,"Q3","Q4")))))</f>
        <v/>
      </c>
    </row>
    <row r="859">
      <c r="A859" s="17" t="n"/>
      <c r="D859" s="20" t="n"/>
      <c r="E859" s="19">
        <f>IF(A859="","",IF(OR(A859&lt;YearStart,A859&gt;YearEnd),"-",IF(A859&lt;=P1End,"Q1",IF(A859&lt;=P2End,"Q2",IF(A859&lt;=P3End,"Q3","Q4")))))</f>
        <v/>
      </c>
    </row>
    <row r="860">
      <c r="A860" s="17" t="n"/>
      <c r="D860" s="20" t="n"/>
      <c r="E860" s="19">
        <f>IF(A860="","",IF(OR(A860&lt;YearStart,A860&gt;YearEnd),"-",IF(A860&lt;=P1End,"Q1",IF(A860&lt;=P2End,"Q2",IF(A860&lt;=P3End,"Q3","Q4")))))</f>
        <v/>
      </c>
    </row>
    <row r="861">
      <c r="A861" s="17" t="n"/>
      <c r="D861" s="20" t="n"/>
      <c r="E861" s="19">
        <f>IF(A861="","",IF(OR(A861&lt;YearStart,A861&gt;YearEnd),"-",IF(A861&lt;=P1End,"Q1",IF(A861&lt;=P2End,"Q2",IF(A861&lt;=P3End,"Q3","Q4")))))</f>
        <v/>
      </c>
    </row>
    <row r="862">
      <c r="A862" s="17" t="n"/>
      <c r="D862" s="20" t="n"/>
      <c r="E862" s="19">
        <f>IF(A862="","",IF(OR(A862&lt;YearStart,A862&gt;YearEnd),"-",IF(A862&lt;=P1End,"Q1",IF(A862&lt;=P2End,"Q2",IF(A862&lt;=P3End,"Q3","Q4")))))</f>
        <v/>
      </c>
    </row>
    <row r="863">
      <c r="A863" s="17" t="n"/>
      <c r="D863" s="20" t="n"/>
      <c r="E863" s="19">
        <f>IF(A863="","",IF(OR(A863&lt;YearStart,A863&gt;YearEnd),"-",IF(A863&lt;=P1End,"Q1",IF(A863&lt;=P2End,"Q2",IF(A863&lt;=P3End,"Q3","Q4")))))</f>
        <v/>
      </c>
    </row>
    <row r="864">
      <c r="A864" s="17" t="n"/>
      <c r="D864" s="20" t="n"/>
      <c r="E864" s="19">
        <f>IF(A864="","",IF(OR(A864&lt;YearStart,A864&gt;YearEnd),"-",IF(A864&lt;=P1End,"Q1",IF(A864&lt;=P2End,"Q2",IF(A864&lt;=P3End,"Q3","Q4")))))</f>
        <v/>
      </c>
    </row>
    <row r="865">
      <c r="A865" s="17" t="n"/>
      <c r="D865" s="20" t="n"/>
      <c r="E865" s="19">
        <f>IF(A865="","",IF(OR(A865&lt;YearStart,A865&gt;YearEnd),"-",IF(A865&lt;=P1End,"Q1",IF(A865&lt;=P2End,"Q2",IF(A865&lt;=P3End,"Q3","Q4")))))</f>
        <v/>
      </c>
    </row>
    <row r="866">
      <c r="A866" s="17" t="n"/>
      <c r="D866" s="20" t="n"/>
      <c r="E866" s="19">
        <f>IF(A866="","",IF(OR(A866&lt;YearStart,A866&gt;YearEnd),"-",IF(A866&lt;=P1End,"Q1",IF(A866&lt;=P2End,"Q2",IF(A866&lt;=P3End,"Q3","Q4")))))</f>
        <v/>
      </c>
    </row>
    <row r="867">
      <c r="A867" s="17" t="n"/>
      <c r="D867" s="20" t="n"/>
      <c r="E867" s="19">
        <f>IF(A867="","",IF(OR(A867&lt;YearStart,A867&gt;YearEnd),"-",IF(A867&lt;=P1End,"Q1",IF(A867&lt;=P2End,"Q2",IF(A867&lt;=P3End,"Q3","Q4")))))</f>
        <v/>
      </c>
    </row>
    <row r="868">
      <c r="A868" s="17" t="n"/>
      <c r="D868" s="20" t="n"/>
      <c r="E868" s="19">
        <f>IF(A868="","",IF(OR(A868&lt;YearStart,A868&gt;YearEnd),"-",IF(A868&lt;=P1End,"Q1",IF(A868&lt;=P2End,"Q2",IF(A868&lt;=P3End,"Q3","Q4")))))</f>
        <v/>
      </c>
    </row>
    <row r="869">
      <c r="A869" s="17" t="n"/>
      <c r="D869" s="20" t="n"/>
      <c r="E869" s="19">
        <f>IF(A869="","",IF(OR(A869&lt;YearStart,A869&gt;YearEnd),"-",IF(A869&lt;=P1End,"Q1",IF(A869&lt;=P2End,"Q2",IF(A869&lt;=P3End,"Q3","Q4")))))</f>
        <v/>
      </c>
    </row>
    <row r="870">
      <c r="A870" s="17" t="n"/>
      <c r="D870" s="20" t="n"/>
      <c r="E870" s="19">
        <f>IF(A870="","",IF(OR(A870&lt;YearStart,A870&gt;YearEnd),"-",IF(A870&lt;=P1End,"Q1",IF(A870&lt;=P2End,"Q2",IF(A870&lt;=P3End,"Q3","Q4")))))</f>
        <v/>
      </c>
    </row>
    <row r="871">
      <c r="A871" s="17" t="n"/>
      <c r="D871" s="20" t="n"/>
      <c r="E871" s="19">
        <f>IF(A871="","",IF(OR(A871&lt;YearStart,A871&gt;YearEnd),"-",IF(A871&lt;=P1End,"Q1",IF(A871&lt;=P2End,"Q2",IF(A871&lt;=P3End,"Q3","Q4")))))</f>
        <v/>
      </c>
    </row>
    <row r="872">
      <c r="A872" s="17" t="n"/>
      <c r="D872" s="20" t="n"/>
      <c r="E872" s="19">
        <f>IF(A872="","",IF(OR(A872&lt;YearStart,A872&gt;YearEnd),"-",IF(A872&lt;=P1End,"Q1",IF(A872&lt;=P2End,"Q2",IF(A872&lt;=P3End,"Q3","Q4")))))</f>
        <v/>
      </c>
    </row>
    <row r="873">
      <c r="A873" s="17" t="n"/>
      <c r="D873" s="20" t="n"/>
      <c r="E873" s="19">
        <f>IF(A873="","",IF(OR(A873&lt;YearStart,A873&gt;YearEnd),"-",IF(A873&lt;=P1End,"Q1",IF(A873&lt;=P2End,"Q2",IF(A873&lt;=P3End,"Q3","Q4")))))</f>
        <v/>
      </c>
    </row>
    <row r="874">
      <c r="A874" s="17" t="n"/>
      <c r="D874" s="20" t="n"/>
      <c r="E874" s="19">
        <f>IF(A874="","",IF(OR(A874&lt;YearStart,A874&gt;YearEnd),"-",IF(A874&lt;=P1End,"Q1",IF(A874&lt;=P2End,"Q2",IF(A874&lt;=P3End,"Q3","Q4")))))</f>
        <v/>
      </c>
    </row>
    <row r="875">
      <c r="A875" s="17" t="n"/>
      <c r="D875" s="20" t="n"/>
      <c r="E875" s="19">
        <f>IF(A875="","",IF(OR(A875&lt;YearStart,A875&gt;YearEnd),"-",IF(A875&lt;=P1End,"Q1",IF(A875&lt;=P2End,"Q2",IF(A875&lt;=P3End,"Q3","Q4")))))</f>
        <v/>
      </c>
    </row>
    <row r="876">
      <c r="A876" s="17" t="n"/>
      <c r="D876" s="20" t="n"/>
      <c r="E876" s="19">
        <f>IF(A876="","",IF(OR(A876&lt;YearStart,A876&gt;YearEnd),"-",IF(A876&lt;=P1End,"Q1",IF(A876&lt;=P2End,"Q2",IF(A876&lt;=P3End,"Q3","Q4")))))</f>
        <v/>
      </c>
    </row>
    <row r="877">
      <c r="A877" s="17" t="n"/>
      <c r="D877" s="20" t="n"/>
      <c r="E877" s="19">
        <f>IF(A877="","",IF(OR(A877&lt;YearStart,A877&gt;YearEnd),"-",IF(A877&lt;=P1End,"Q1",IF(A877&lt;=P2End,"Q2",IF(A877&lt;=P3End,"Q3","Q4")))))</f>
        <v/>
      </c>
    </row>
    <row r="878">
      <c r="A878" s="17" t="n"/>
      <c r="D878" s="20" t="n"/>
      <c r="E878" s="19">
        <f>IF(A878="","",IF(OR(A878&lt;YearStart,A878&gt;YearEnd),"-",IF(A878&lt;=P1End,"Q1",IF(A878&lt;=P2End,"Q2",IF(A878&lt;=P3End,"Q3","Q4")))))</f>
        <v/>
      </c>
    </row>
    <row r="879">
      <c r="A879" s="17" t="n"/>
      <c r="D879" s="20" t="n"/>
      <c r="E879" s="19">
        <f>IF(A879="","",IF(OR(A879&lt;YearStart,A879&gt;YearEnd),"-",IF(A879&lt;=P1End,"Q1",IF(A879&lt;=P2End,"Q2",IF(A879&lt;=P3End,"Q3","Q4")))))</f>
        <v/>
      </c>
    </row>
    <row r="880">
      <c r="A880" s="17" t="n"/>
      <c r="D880" s="20" t="n"/>
      <c r="E880" s="19">
        <f>IF(A880="","",IF(OR(A880&lt;YearStart,A880&gt;YearEnd),"-",IF(A880&lt;=P1End,"Q1",IF(A880&lt;=P2End,"Q2",IF(A880&lt;=P3End,"Q3","Q4")))))</f>
        <v/>
      </c>
    </row>
    <row r="881">
      <c r="A881" s="17" t="n"/>
      <c r="D881" s="20" t="n"/>
      <c r="E881" s="19">
        <f>IF(A881="","",IF(OR(A881&lt;YearStart,A881&gt;YearEnd),"-",IF(A881&lt;=P1End,"Q1",IF(A881&lt;=P2End,"Q2",IF(A881&lt;=P3End,"Q3","Q4")))))</f>
        <v/>
      </c>
    </row>
    <row r="882">
      <c r="A882" s="17" t="n"/>
      <c r="D882" s="20" t="n"/>
      <c r="E882" s="19">
        <f>IF(A882="","",IF(OR(A882&lt;YearStart,A882&gt;YearEnd),"-",IF(A882&lt;=P1End,"Q1",IF(A882&lt;=P2End,"Q2",IF(A882&lt;=P3End,"Q3","Q4")))))</f>
        <v/>
      </c>
    </row>
    <row r="883">
      <c r="A883" s="17" t="n"/>
      <c r="D883" s="20" t="n"/>
      <c r="E883" s="19">
        <f>IF(A883="","",IF(OR(A883&lt;YearStart,A883&gt;YearEnd),"-",IF(A883&lt;=P1End,"Q1",IF(A883&lt;=P2End,"Q2",IF(A883&lt;=P3End,"Q3","Q4")))))</f>
        <v/>
      </c>
    </row>
    <row r="884">
      <c r="A884" s="17" t="n"/>
      <c r="D884" s="20" t="n"/>
      <c r="E884" s="19">
        <f>IF(A884="","",IF(OR(A884&lt;YearStart,A884&gt;YearEnd),"-",IF(A884&lt;=P1End,"Q1",IF(A884&lt;=P2End,"Q2",IF(A884&lt;=P3End,"Q3","Q4")))))</f>
        <v/>
      </c>
    </row>
    <row r="885">
      <c r="A885" s="17" t="n"/>
      <c r="D885" s="20" t="n"/>
      <c r="E885" s="19">
        <f>IF(A885="","",IF(OR(A885&lt;YearStart,A885&gt;YearEnd),"-",IF(A885&lt;=P1End,"Q1",IF(A885&lt;=P2End,"Q2",IF(A885&lt;=P3End,"Q3","Q4")))))</f>
        <v/>
      </c>
    </row>
    <row r="886">
      <c r="A886" s="17" t="n"/>
      <c r="D886" s="20" t="n"/>
      <c r="E886" s="19">
        <f>IF(A886="","",IF(OR(A886&lt;YearStart,A886&gt;YearEnd),"-",IF(A886&lt;=P1End,"Q1",IF(A886&lt;=P2End,"Q2",IF(A886&lt;=P3End,"Q3","Q4")))))</f>
        <v/>
      </c>
    </row>
    <row r="887">
      <c r="A887" s="17" t="n"/>
      <c r="D887" s="20" t="n"/>
      <c r="E887" s="19">
        <f>IF(A887="","",IF(OR(A887&lt;YearStart,A887&gt;YearEnd),"-",IF(A887&lt;=P1End,"Q1",IF(A887&lt;=P2End,"Q2",IF(A887&lt;=P3End,"Q3","Q4")))))</f>
        <v/>
      </c>
    </row>
    <row r="888">
      <c r="A888" s="17" t="n"/>
      <c r="D888" s="20" t="n"/>
      <c r="E888" s="19">
        <f>IF(A888="","",IF(OR(A888&lt;YearStart,A888&gt;YearEnd),"-",IF(A888&lt;=P1End,"Q1",IF(A888&lt;=P2End,"Q2",IF(A888&lt;=P3End,"Q3","Q4")))))</f>
        <v/>
      </c>
    </row>
    <row r="889">
      <c r="A889" s="17" t="n"/>
      <c r="D889" s="20" t="n"/>
      <c r="E889" s="19">
        <f>IF(A889="","",IF(OR(A889&lt;YearStart,A889&gt;YearEnd),"-",IF(A889&lt;=P1End,"Q1",IF(A889&lt;=P2End,"Q2",IF(A889&lt;=P3End,"Q3","Q4")))))</f>
        <v/>
      </c>
    </row>
    <row r="890">
      <c r="A890" s="17" t="n"/>
      <c r="D890" s="20" t="n"/>
      <c r="E890" s="19">
        <f>IF(A890="","",IF(OR(A890&lt;YearStart,A890&gt;YearEnd),"-",IF(A890&lt;=P1End,"Q1",IF(A890&lt;=P2End,"Q2",IF(A890&lt;=P3End,"Q3","Q4")))))</f>
        <v/>
      </c>
    </row>
    <row r="891">
      <c r="A891" s="17" t="n"/>
      <c r="D891" s="20" t="n"/>
      <c r="E891" s="19">
        <f>IF(A891="","",IF(OR(A891&lt;YearStart,A891&gt;YearEnd),"-",IF(A891&lt;=P1End,"Q1",IF(A891&lt;=P2End,"Q2",IF(A891&lt;=P3End,"Q3","Q4")))))</f>
        <v/>
      </c>
    </row>
    <row r="892">
      <c r="A892" s="17" t="n"/>
      <c r="D892" s="20" t="n"/>
      <c r="E892" s="19">
        <f>IF(A892="","",IF(OR(A892&lt;YearStart,A892&gt;YearEnd),"-",IF(A892&lt;=P1End,"Q1",IF(A892&lt;=P2End,"Q2",IF(A892&lt;=P3End,"Q3","Q4")))))</f>
        <v/>
      </c>
    </row>
    <row r="893">
      <c r="A893" s="17" t="n"/>
      <c r="D893" s="20" t="n"/>
      <c r="E893" s="19">
        <f>IF(A893="","",IF(OR(A893&lt;YearStart,A893&gt;YearEnd),"-",IF(A893&lt;=P1End,"Q1",IF(A893&lt;=P2End,"Q2",IF(A893&lt;=P3End,"Q3","Q4")))))</f>
        <v/>
      </c>
    </row>
    <row r="894">
      <c r="A894" s="17" t="n"/>
      <c r="D894" s="20" t="n"/>
      <c r="E894" s="19">
        <f>IF(A894="","",IF(OR(A894&lt;YearStart,A894&gt;YearEnd),"-",IF(A894&lt;=P1End,"Q1",IF(A894&lt;=P2End,"Q2",IF(A894&lt;=P3End,"Q3","Q4")))))</f>
        <v/>
      </c>
    </row>
    <row r="895">
      <c r="A895" s="17" t="n"/>
      <c r="D895" s="20" t="n"/>
      <c r="E895" s="19">
        <f>IF(A895="","",IF(OR(A895&lt;YearStart,A895&gt;YearEnd),"-",IF(A895&lt;=P1End,"Q1",IF(A895&lt;=P2End,"Q2",IF(A895&lt;=P3End,"Q3","Q4")))))</f>
        <v/>
      </c>
    </row>
    <row r="896">
      <c r="A896" s="17" t="n"/>
      <c r="D896" s="20" t="n"/>
      <c r="E896" s="19">
        <f>IF(A896="","",IF(OR(A896&lt;YearStart,A896&gt;YearEnd),"-",IF(A896&lt;=P1End,"Q1",IF(A896&lt;=P2End,"Q2",IF(A896&lt;=P3End,"Q3","Q4")))))</f>
        <v/>
      </c>
    </row>
    <row r="897">
      <c r="A897" s="17" t="n"/>
      <c r="D897" s="20" t="n"/>
      <c r="E897" s="19">
        <f>IF(A897="","",IF(OR(A897&lt;YearStart,A897&gt;YearEnd),"-",IF(A897&lt;=P1End,"Q1",IF(A897&lt;=P2End,"Q2",IF(A897&lt;=P3End,"Q3","Q4")))))</f>
        <v/>
      </c>
    </row>
    <row r="898">
      <c r="A898" s="17" t="n"/>
      <c r="D898" s="20" t="n"/>
      <c r="E898" s="19">
        <f>IF(A898="","",IF(OR(A898&lt;YearStart,A898&gt;YearEnd),"-",IF(A898&lt;=P1End,"Q1",IF(A898&lt;=P2End,"Q2",IF(A898&lt;=P3End,"Q3","Q4")))))</f>
        <v/>
      </c>
    </row>
    <row r="899">
      <c r="A899" s="17" t="n"/>
      <c r="D899" s="20" t="n"/>
      <c r="E899" s="19">
        <f>IF(A899="","",IF(OR(A899&lt;YearStart,A899&gt;YearEnd),"-",IF(A899&lt;=P1End,"Q1",IF(A899&lt;=P2End,"Q2",IF(A899&lt;=P3End,"Q3","Q4")))))</f>
        <v/>
      </c>
    </row>
    <row r="900">
      <c r="A900" s="17" t="n"/>
      <c r="D900" s="20" t="n"/>
      <c r="E900" s="19">
        <f>IF(A900="","",IF(OR(A900&lt;YearStart,A900&gt;YearEnd),"-",IF(A900&lt;=P1End,"Q1",IF(A900&lt;=P2End,"Q2",IF(A900&lt;=P3End,"Q3","Q4")))))</f>
        <v/>
      </c>
    </row>
    <row r="901">
      <c r="A901" s="17" t="n"/>
      <c r="D901" s="20" t="n"/>
      <c r="E901" s="19">
        <f>IF(A901="","",IF(OR(A901&lt;YearStart,A901&gt;YearEnd),"-",IF(A901&lt;=P1End,"Q1",IF(A901&lt;=P2End,"Q2",IF(A901&lt;=P3End,"Q3","Q4")))))</f>
        <v/>
      </c>
    </row>
    <row r="902">
      <c r="A902" s="17" t="n"/>
      <c r="D902" s="20" t="n"/>
      <c r="E902" s="19">
        <f>IF(A902="","",IF(OR(A902&lt;YearStart,A902&gt;YearEnd),"-",IF(A902&lt;=P1End,"Q1",IF(A902&lt;=P2End,"Q2",IF(A902&lt;=P3End,"Q3","Q4")))))</f>
        <v/>
      </c>
    </row>
    <row r="903">
      <c r="A903" s="17" t="n"/>
      <c r="D903" s="20" t="n"/>
      <c r="E903" s="19">
        <f>IF(A903="","",IF(OR(A903&lt;YearStart,A903&gt;YearEnd),"-",IF(A903&lt;=P1End,"Q1",IF(A903&lt;=P2End,"Q2",IF(A903&lt;=P3End,"Q3","Q4")))))</f>
        <v/>
      </c>
    </row>
    <row r="904">
      <c r="A904" s="17" t="n"/>
      <c r="D904" s="20" t="n"/>
      <c r="E904" s="19">
        <f>IF(A904="","",IF(OR(A904&lt;YearStart,A904&gt;YearEnd),"-",IF(A904&lt;=P1End,"Q1",IF(A904&lt;=P2End,"Q2",IF(A904&lt;=P3End,"Q3","Q4")))))</f>
        <v/>
      </c>
    </row>
    <row r="905">
      <c r="A905" s="17" t="n"/>
      <c r="D905" s="20" t="n"/>
      <c r="E905" s="19">
        <f>IF(A905="","",IF(OR(A905&lt;YearStart,A905&gt;YearEnd),"-",IF(A905&lt;=P1End,"Q1",IF(A905&lt;=P2End,"Q2",IF(A905&lt;=P3End,"Q3","Q4")))))</f>
        <v/>
      </c>
    </row>
    <row r="906">
      <c r="A906" s="17" t="n"/>
      <c r="D906" s="20" t="n"/>
      <c r="E906" s="19">
        <f>IF(A906="","",IF(OR(A906&lt;YearStart,A906&gt;YearEnd),"-",IF(A906&lt;=P1End,"Q1",IF(A906&lt;=P2End,"Q2",IF(A906&lt;=P3End,"Q3","Q4")))))</f>
        <v/>
      </c>
    </row>
    <row r="907">
      <c r="A907" s="17" t="n"/>
      <c r="D907" s="20" t="n"/>
      <c r="E907" s="19">
        <f>IF(A907="","",IF(OR(A907&lt;YearStart,A907&gt;YearEnd),"-",IF(A907&lt;=P1End,"Q1",IF(A907&lt;=P2End,"Q2",IF(A907&lt;=P3End,"Q3","Q4")))))</f>
        <v/>
      </c>
    </row>
    <row r="908">
      <c r="A908" s="17" t="n"/>
      <c r="D908" s="20" t="n"/>
      <c r="E908" s="19">
        <f>IF(A908="","",IF(OR(A908&lt;YearStart,A908&gt;YearEnd),"-",IF(A908&lt;=P1End,"Q1",IF(A908&lt;=P2End,"Q2",IF(A908&lt;=P3End,"Q3","Q4")))))</f>
        <v/>
      </c>
    </row>
    <row r="909">
      <c r="A909" s="17" t="n"/>
      <c r="D909" s="20" t="n"/>
      <c r="E909" s="19">
        <f>IF(A909="","",IF(OR(A909&lt;YearStart,A909&gt;YearEnd),"-",IF(A909&lt;=P1End,"Q1",IF(A909&lt;=P2End,"Q2",IF(A909&lt;=P3End,"Q3","Q4")))))</f>
        <v/>
      </c>
    </row>
    <row r="910">
      <c r="A910" s="17" t="n"/>
      <c r="D910" s="20" t="n"/>
      <c r="E910" s="19">
        <f>IF(A910="","",IF(OR(A910&lt;YearStart,A910&gt;YearEnd),"-",IF(A910&lt;=P1End,"Q1",IF(A910&lt;=P2End,"Q2",IF(A910&lt;=P3End,"Q3","Q4")))))</f>
        <v/>
      </c>
    </row>
    <row r="911">
      <c r="A911" s="17" t="n"/>
      <c r="D911" s="20" t="n"/>
      <c r="E911" s="19">
        <f>IF(A911="","",IF(OR(A911&lt;YearStart,A911&gt;YearEnd),"-",IF(A911&lt;=P1End,"Q1",IF(A911&lt;=P2End,"Q2",IF(A911&lt;=P3End,"Q3","Q4")))))</f>
        <v/>
      </c>
    </row>
    <row r="912">
      <c r="A912" s="17" t="n"/>
      <c r="D912" s="20" t="n"/>
      <c r="E912" s="19">
        <f>IF(A912="","",IF(OR(A912&lt;YearStart,A912&gt;YearEnd),"-",IF(A912&lt;=P1End,"Q1",IF(A912&lt;=P2End,"Q2",IF(A912&lt;=P3End,"Q3","Q4")))))</f>
        <v/>
      </c>
    </row>
    <row r="913">
      <c r="A913" s="17" t="n"/>
      <c r="D913" s="20" t="n"/>
      <c r="E913" s="19">
        <f>IF(A913="","",IF(OR(A913&lt;YearStart,A913&gt;YearEnd),"-",IF(A913&lt;=P1End,"Q1",IF(A913&lt;=P2End,"Q2",IF(A913&lt;=P3End,"Q3","Q4")))))</f>
        <v/>
      </c>
    </row>
    <row r="914">
      <c r="A914" s="17" t="n"/>
      <c r="D914" s="20" t="n"/>
      <c r="E914" s="19">
        <f>IF(A914="","",IF(OR(A914&lt;YearStart,A914&gt;YearEnd),"-",IF(A914&lt;=P1End,"Q1",IF(A914&lt;=P2End,"Q2",IF(A914&lt;=P3End,"Q3","Q4")))))</f>
        <v/>
      </c>
    </row>
    <row r="915">
      <c r="A915" s="17" t="n"/>
      <c r="D915" s="20" t="n"/>
      <c r="E915" s="19">
        <f>IF(A915="","",IF(OR(A915&lt;YearStart,A915&gt;YearEnd),"-",IF(A915&lt;=P1End,"Q1",IF(A915&lt;=P2End,"Q2",IF(A915&lt;=P3End,"Q3","Q4")))))</f>
        <v/>
      </c>
    </row>
    <row r="916">
      <c r="A916" s="17" t="n"/>
      <c r="D916" s="20" t="n"/>
      <c r="E916" s="19">
        <f>IF(A916="","",IF(OR(A916&lt;YearStart,A916&gt;YearEnd),"-",IF(A916&lt;=P1End,"Q1",IF(A916&lt;=P2End,"Q2",IF(A916&lt;=P3End,"Q3","Q4")))))</f>
        <v/>
      </c>
    </row>
    <row r="917">
      <c r="A917" s="17" t="n"/>
      <c r="D917" s="20" t="n"/>
      <c r="E917" s="19">
        <f>IF(A917="","",IF(OR(A917&lt;YearStart,A917&gt;YearEnd),"-",IF(A917&lt;=P1End,"Q1",IF(A917&lt;=P2End,"Q2",IF(A917&lt;=P3End,"Q3","Q4")))))</f>
        <v/>
      </c>
    </row>
    <row r="918">
      <c r="A918" s="17" t="n"/>
      <c r="D918" s="20" t="n"/>
      <c r="E918" s="19">
        <f>IF(A918="","",IF(OR(A918&lt;YearStart,A918&gt;YearEnd),"-",IF(A918&lt;=P1End,"Q1",IF(A918&lt;=P2End,"Q2",IF(A918&lt;=P3End,"Q3","Q4")))))</f>
        <v/>
      </c>
    </row>
    <row r="919">
      <c r="A919" s="17" t="n"/>
      <c r="D919" s="20" t="n"/>
      <c r="E919" s="19">
        <f>IF(A919="","",IF(OR(A919&lt;YearStart,A919&gt;YearEnd),"-",IF(A919&lt;=P1End,"Q1",IF(A919&lt;=P2End,"Q2",IF(A919&lt;=P3End,"Q3","Q4")))))</f>
        <v/>
      </c>
    </row>
    <row r="920">
      <c r="A920" s="17" t="n"/>
      <c r="D920" s="20" t="n"/>
      <c r="E920" s="19">
        <f>IF(A920="","",IF(OR(A920&lt;YearStart,A920&gt;YearEnd),"-",IF(A920&lt;=P1End,"Q1",IF(A920&lt;=P2End,"Q2",IF(A920&lt;=P3End,"Q3","Q4")))))</f>
        <v/>
      </c>
    </row>
    <row r="921">
      <c r="A921" s="17" t="n"/>
      <c r="D921" s="20" t="n"/>
      <c r="E921" s="19">
        <f>IF(A921="","",IF(OR(A921&lt;YearStart,A921&gt;YearEnd),"-",IF(A921&lt;=P1End,"Q1",IF(A921&lt;=P2End,"Q2",IF(A921&lt;=P3End,"Q3","Q4")))))</f>
        <v/>
      </c>
    </row>
    <row r="922">
      <c r="A922" s="17" t="n"/>
      <c r="D922" s="20" t="n"/>
      <c r="E922" s="19">
        <f>IF(A922="","",IF(OR(A922&lt;YearStart,A922&gt;YearEnd),"-",IF(A922&lt;=P1End,"Q1",IF(A922&lt;=P2End,"Q2",IF(A922&lt;=P3End,"Q3","Q4")))))</f>
        <v/>
      </c>
    </row>
    <row r="923">
      <c r="A923" s="17" t="n"/>
      <c r="D923" s="20" t="n"/>
      <c r="E923" s="19">
        <f>IF(A923="","",IF(OR(A923&lt;YearStart,A923&gt;YearEnd),"-",IF(A923&lt;=P1End,"Q1",IF(A923&lt;=P2End,"Q2",IF(A923&lt;=P3End,"Q3","Q4")))))</f>
        <v/>
      </c>
    </row>
    <row r="924">
      <c r="A924" s="17" t="n"/>
      <c r="D924" s="20" t="n"/>
      <c r="E924" s="19">
        <f>IF(A924="","",IF(OR(A924&lt;YearStart,A924&gt;YearEnd),"-",IF(A924&lt;=P1End,"Q1",IF(A924&lt;=P2End,"Q2",IF(A924&lt;=P3End,"Q3","Q4")))))</f>
        <v/>
      </c>
    </row>
    <row r="925">
      <c r="A925" s="17" t="n"/>
      <c r="D925" s="20" t="n"/>
      <c r="E925" s="19">
        <f>IF(A925="","",IF(OR(A925&lt;YearStart,A925&gt;YearEnd),"-",IF(A925&lt;=P1End,"Q1",IF(A925&lt;=P2End,"Q2",IF(A925&lt;=P3End,"Q3","Q4")))))</f>
        <v/>
      </c>
    </row>
    <row r="926">
      <c r="A926" s="17" t="n"/>
      <c r="D926" s="20" t="n"/>
      <c r="E926" s="19">
        <f>IF(A926="","",IF(OR(A926&lt;YearStart,A926&gt;YearEnd),"-",IF(A926&lt;=P1End,"Q1",IF(A926&lt;=P2End,"Q2",IF(A926&lt;=P3End,"Q3","Q4")))))</f>
        <v/>
      </c>
    </row>
    <row r="927">
      <c r="A927" s="17" t="n"/>
      <c r="D927" s="20" t="n"/>
      <c r="E927" s="19">
        <f>IF(A927="","",IF(OR(A927&lt;YearStart,A927&gt;YearEnd),"-",IF(A927&lt;=P1End,"Q1",IF(A927&lt;=P2End,"Q2",IF(A927&lt;=P3End,"Q3","Q4")))))</f>
        <v/>
      </c>
    </row>
    <row r="928">
      <c r="A928" s="17" t="n"/>
      <c r="D928" s="20" t="n"/>
      <c r="E928" s="19">
        <f>IF(A928="","",IF(OR(A928&lt;YearStart,A928&gt;YearEnd),"-",IF(A928&lt;=P1End,"Q1",IF(A928&lt;=P2End,"Q2",IF(A928&lt;=P3End,"Q3","Q4")))))</f>
        <v/>
      </c>
    </row>
    <row r="929">
      <c r="A929" s="17" t="n"/>
      <c r="D929" s="20" t="n"/>
      <c r="E929" s="19">
        <f>IF(A929="","",IF(OR(A929&lt;YearStart,A929&gt;YearEnd),"-",IF(A929&lt;=P1End,"Q1",IF(A929&lt;=P2End,"Q2",IF(A929&lt;=P3End,"Q3","Q4")))))</f>
        <v/>
      </c>
    </row>
    <row r="930">
      <c r="A930" s="17" t="n"/>
      <c r="D930" s="20" t="n"/>
      <c r="E930" s="19">
        <f>IF(A930="","",IF(OR(A930&lt;YearStart,A930&gt;YearEnd),"-",IF(A930&lt;=P1End,"Q1",IF(A930&lt;=P2End,"Q2",IF(A930&lt;=P3End,"Q3","Q4")))))</f>
        <v/>
      </c>
    </row>
    <row r="931">
      <c r="A931" s="17" t="n"/>
      <c r="D931" s="20" t="n"/>
      <c r="E931" s="19">
        <f>IF(A931="","",IF(OR(A931&lt;YearStart,A931&gt;YearEnd),"-",IF(A931&lt;=P1End,"Q1",IF(A931&lt;=P2End,"Q2",IF(A931&lt;=P3End,"Q3","Q4")))))</f>
        <v/>
      </c>
    </row>
    <row r="932">
      <c r="A932" s="17" t="n"/>
      <c r="D932" s="20" t="n"/>
      <c r="E932" s="19">
        <f>IF(A932="","",IF(OR(A932&lt;YearStart,A932&gt;YearEnd),"-",IF(A932&lt;=P1End,"Q1",IF(A932&lt;=P2End,"Q2",IF(A932&lt;=P3End,"Q3","Q4")))))</f>
        <v/>
      </c>
    </row>
    <row r="933">
      <c r="A933" s="17" t="n"/>
      <c r="D933" s="20" t="n"/>
      <c r="E933" s="19">
        <f>IF(A933="","",IF(OR(A933&lt;YearStart,A933&gt;YearEnd),"-",IF(A933&lt;=P1End,"Q1",IF(A933&lt;=P2End,"Q2",IF(A933&lt;=P3End,"Q3","Q4")))))</f>
        <v/>
      </c>
    </row>
    <row r="934">
      <c r="A934" s="17" t="n"/>
      <c r="D934" s="20" t="n"/>
      <c r="E934" s="19">
        <f>IF(A934="","",IF(OR(A934&lt;YearStart,A934&gt;YearEnd),"-",IF(A934&lt;=P1End,"Q1",IF(A934&lt;=P2End,"Q2",IF(A934&lt;=P3End,"Q3","Q4")))))</f>
        <v/>
      </c>
    </row>
    <row r="935">
      <c r="A935" s="17" t="n"/>
      <c r="D935" s="20" t="n"/>
      <c r="E935" s="19">
        <f>IF(A935="","",IF(OR(A935&lt;YearStart,A935&gt;YearEnd),"-",IF(A935&lt;=P1End,"Q1",IF(A935&lt;=P2End,"Q2",IF(A935&lt;=P3End,"Q3","Q4")))))</f>
        <v/>
      </c>
    </row>
    <row r="936">
      <c r="A936" s="17" t="n"/>
      <c r="D936" s="20" t="n"/>
      <c r="E936" s="19">
        <f>IF(A936="","",IF(OR(A936&lt;YearStart,A936&gt;YearEnd),"-",IF(A936&lt;=P1End,"Q1",IF(A936&lt;=P2End,"Q2",IF(A936&lt;=P3End,"Q3","Q4")))))</f>
        <v/>
      </c>
    </row>
    <row r="937">
      <c r="A937" s="17" t="n"/>
      <c r="D937" s="20" t="n"/>
      <c r="E937" s="19">
        <f>IF(A937="","",IF(OR(A937&lt;YearStart,A937&gt;YearEnd),"-",IF(A937&lt;=P1End,"Q1",IF(A937&lt;=P2End,"Q2",IF(A937&lt;=P3End,"Q3","Q4")))))</f>
        <v/>
      </c>
    </row>
    <row r="938">
      <c r="A938" s="17" t="n"/>
      <c r="D938" s="20" t="n"/>
      <c r="E938" s="19">
        <f>IF(A938="","",IF(OR(A938&lt;YearStart,A938&gt;YearEnd),"-",IF(A938&lt;=P1End,"Q1",IF(A938&lt;=P2End,"Q2",IF(A938&lt;=P3End,"Q3","Q4")))))</f>
        <v/>
      </c>
    </row>
    <row r="939">
      <c r="A939" s="17" t="n"/>
      <c r="D939" s="20" t="n"/>
      <c r="E939" s="19">
        <f>IF(A939="","",IF(OR(A939&lt;YearStart,A939&gt;YearEnd),"-",IF(A939&lt;=P1End,"Q1",IF(A939&lt;=P2End,"Q2",IF(A939&lt;=P3End,"Q3","Q4")))))</f>
        <v/>
      </c>
    </row>
    <row r="940">
      <c r="A940" s="17" t="n"/>
      <c r="D940" s="20" t="n"/>
      <c r="E940" s="19">
        <f>IF(A940="","",IF(OR(A940&lt;YearStart,A940&gt;YearEnd),"-",IF(A940&lt;=P1End,"Q1",IF(A940&lt;=P2End,"Q2",IF(A940&lt;=P3End,"Q3","Q4")))))</f>
        <v/>
      </c>
    </row>
    <row r="941">
      <c r="A941" s="17" t="n"/>
      <c r="D941" s="20" t="n"/>
      <c r="E941" s="19">
        <f>IF(A941="","",IF(OR(A941&lt;YearStart,A941&gt;YearEnd),"-",IF(A941&lt;=P1End,"Q1",IF(A941&lt;=P2End,"Q2",IF(A941&lt;=P3End,"Q3","Q4")))))</f>
        <v/>
      </c>
    </row>
    <row r="942">
      <c r="A942" s="17" t="n"/>
      <c r="D942" s="20" t="n"/>
      <c r="E942" s="19">
        <f>IF(A942="","",IF(OR(A942&lt;YearStart,A942&gt;YearEnd),"-",IF(A942&lt;=P1End,"Q1",IF(A942&lt;=P2End,"Q2",IF(A942&lt;=P3End,"Q3","Q4")))))</f>
        <v/>
      </c>
    </row>
    <row r="943">
      <c r="A943" s="17" t="n"/>
      <c r="D943" s="20" t="n"/>
      <c r="E943" s="19">
        <f>IF(A943="","",IF(OR(A943&lt;YearStart,A943&gt;YearEnd),"-",IF(A943&lt;=P1End,"Q1",IF(A943&lt;=P2End,"Q2",IF(A943&lt;=P3End,"Q3","Q4")))))</f>
        <v/>
      </c>
    </row>
    <row r="944">
      <c r="A944" s="17" t="n"/>
      <c r="D944" s="20" t="n"/>
      <c r="E944" s="19">
        <f>IF(A944="","",IF(OR(A944&lt;YearStart,A944&gt;YearEnd),"-",IF(A944&lt;=P1End,"Q1",IF(A944&lt;=P2End,"Q2",IF(A944&lt;=P3End,"Q3","Q4")))))</f>
        <v/>
      </c>
    </row>
    <row r="945">
      <c r="A945" s="17" t="n"/>
      <c r="D945" s="20" t="n"/>
      <c r="E945" s="19">
        <f>IF(A945="","",IF(OR(A945&lt;YearStart,A945&gt;YearEnd),"-",IF(A945&lt;=P1End,"Q1",IF(A945&lt;=P2End,"Q2",IF(A945&lt;=P3End,"Q3","Q4")))))</f>
        <v/>
      </c>
    </row>
    <row r="946">
      <c r="A946" s="17" t="n"/>
      <c r="D946" s="20" t="n"/>
      <c r="E946" s="19">
        <f>IF(A946="","",IF(OR(A946&lt;YearStart,A946&gt;YearEnd),"-",IF(A946&lt;=P1End,"Q1",IF(A946&lt;=P2End,"Q2",IF(A946&lt;=P3End,"Q3","Q4")))))</f>
        <v/>
      </c>
    </row>
    <row r="947">
      <c r="A947" s="17" t="n"/>
      <c r="D947" s="20" t="n"/>
      <c r="E947" s="19">
        <f>IF(A947="","",IF(OR(A947&lt;YearStart,A947&gt;YearEnd),"-",IF(A947&lt;=P1End,"Q1",IF(A947&lt;=P2End,"Q2",IF(A947&lt;=P3End,"Q3","Q4")))))</f>
        <v/>
      </c>
    </row>
    <row r="948">
      <c r="A948" s="17" t="n"/>
      <c r="D948" s="20" t="n"/>
      <c r="E948" s="19">
        <f>IF(A948="","",IF(OR(A948&lt;YearStart,A948&gt;YearEnd),"-",IF(A948&lt;=P1End,"Q1",IF(A948&lt;=P2End,"Q2",IF(A948&lt;=P3End,"Q3","Q4")))))</f>
        <v/>
      </c>
    </row>
    <row r="949">
      <c r="A949" s="17" t="n"/>
      <c r="D949" s="20" t="n"/>
      <c r="E949" s="19">
        <f>IF(A949="","",IF(OR(A949&lt;YearStart,A949&gt;YearEnd),"-",IF(A949&lt;=P1End,"Q1",IF(A949&lt;=P2End,"Q2",IF(A949&lt;=P3End,"Q3","Q4")))))</f>
        <v/>
      </c>
    </row>
    <row r="950">
      <c r="A950" s="17" t="n"/>
      <c r="D950" s="20" t="n"/>
      <c r="E950" s="19">
        <f>IF(A950="","",IF(OR(A950&lt;YearStart,A950&gt;YearEnd),"-",IF(A950&lt;=P1End,"Q1",IF(A950&lt;=P2End,"Q2",IF(A950&lt;=P3End,"Q3","Q4")))))</f>
        <v/>
      </c>
    </row>
    <row r="951">
      <c r="A951" s="17" t="n"/>
      <c r="D951" s="20" t="n"/>
      <c r="E951" s="19">
        <f>IF(A951="","",IF(OR(A951&lt;YearStart,A951&gt;YearEnd),"-",IF(A951&lt;=P1End,"Q1",IF(A951&lt;=P2End,"Q2",IF(A951&lt;=P3End,"Q3","Q4")))))</f>
        <v/>
      </c>
    </row>
    <row r="952">
      <c r="A952" s="17" t="n"/>
      <c r="D952" s="20" t="n"/>
      <c r="E952" s="19">
        <f>IF(A952="","",IF(OR(A952&lt;YearStart,A952&gt;YearEnd),"-",IF(A952&lt;=P1End,"Q1",IF(A952&lt;=P2End,"Q2",IF(A952&lt;=P3End,"Q3","Q4")))))</f>
        <v/>
      </c>
    </row>
    <row r="953">
      <c r="A953" s="17" t="n"/>
      <c r="D953" s="20" t="n"/>
      <c r="E953" s="19">
        <f>IF(A953="","",IF(OR(A953&lt;YearStart,A953&gt;YearEnd),"-",IF(A953&lt;=P1End,"Q1",IF(A953&lt;=P2End,"Q2",IF(A953&lt;=P3End,"Q3","Q4")))))</f>
        <v/>
      </c>
    </row>
    <row r="954">
      <c r="A954" s="17" t="n"/>
      <c r="D954" s="20" t="n"/>
      <c r="E954" s="19">
        <f>IF(A954="","",IF(OR(A954&lt;YearStart,A954&gt;YearEnd),"-",IF(A954&lt;=P1End,"Q1",IF(A954&lt;=P2End,"Q2",IF(A954&lt;=P3End,"Q3","Q4")))))</f>
        <v/>
      </c>
    </row>
    <row r="955">
      <c r="A955" s="17" t="n"/>
      <c r="D955" s="20" t="n"/>
      <c r="E955" s="19">
        <f>IF(A955="","",IF(OR(A955&lt;YearStart,A955&gt;YearEnd),"-",IF(A955&lt;=P1End,"Q1",IF(A955&lt;=P2End,"Q2",IF(A955&lt;=P3End,"Q3","Q4")))))</f>
        <v/>
      </c>
    </row>
    <row r="956">
      <c r="A956" s="17" t="n"/>
      <c r="D956" s="20" t="n"/>
      <c r="E956" s="19">
        <f>IF(A956="","",IF(OR(A956&lt;YearStart,A956&gt;YearEnd),"-",IF(A956&lt;=P1End,"Q1",IF(A956&lt;=P2End,"Q2",IF(A956&lt;=P3End,"Q3","Q4")))))</f>
        <v/>
      </c>
    </row>
    <row r="957">
      <c r="A957" s="17" t="n"/>
      <c r="D957" s="20" t="n"/>
      <c r="E957" s="19">
        <f>IF(A957="","",IF(OR(A957&lt;YearStart,A957&gt;YearEnd),"-",IF(A957&lt;=P1End,"Q1",IF(A957&lt;=P2End,"Q2",IF(A957&lt;=P3End,"Q3","Q4")))))</f>
        <v/>
      </c>
    </row>
    <row r="958">
      <c r="A958" s="17" t="n"/>
      <c r="D958" s="20" t="n"/>
      <c r="E958" s="19">
        <f>IF(A958="","",IF(OR(A958&lt;YearStart,A958&gt;YearEnd),"-",IF(A958&lt;=P1End,"Q1",IF(A958&lt;=P2End,"Q2",IF(A958&lt;=P3End,"Q3","Q4")))))</f>
        <v/>
      </c>
    </row>
    <row r="959">
      <c r="A959" s="17" t="n"/>
      <c r="D959" s="20" t="n"/>
      <c r="E959" s="19">
        <f>IF(A959="","",IF(OR(A959&lt;YearStart,A959&gt;YearEnd),"-",IF(A959&lt;=P1End,"Q1",IF(A959&lt;=P2End,"Q2",IF(A959&lt;=P3End,"Q3","Q4")))))</f>
        <v/>
      </c>
    </row>
    <row r="960">
      <c r="A960" s="17" t="n"/>
      <c r="D960" s="20" t="n"/>
      <c r="E960" s="19">
        <f>IF(A960="","",IF(OR(A960&lt;YearStart,A960&gt;YearEnd),"-",IF(A960&lt;=P1End,"Q1",IF(A960&lt;=P2End,"Q2",IF(A960&lt;=P3End,"Q3","Q4")))))</f>
        <v/>
      </c>
    </row>
    <row r="961">
      <c r="A961" s="17" t="n"/>
      <c r="D961" s="20" t="n"/>
      <c r="E961" s="19">
        <f>IF(A961="","",IF(OR(A961&lt;YearStart,A961&gt;YearEnd),"-",IF(A961&lt;=P1End,"Q1",IF(A961&lt;=P2End,"Q2",IF(A961&lt;=P3End,"Q3","Q4")))))</f>
        <v/>
      </c>
    </row>
    <row r="962">
      <c r="A962" s="17" t="n"/>
      <c r="D962" s="20" t="n"/>
      <c r="E962" s="19">
        <f>IF(A962="","",IF(OR(A962&lt;YearStart,A962&gt;YearEnd),"-",IF(A962&lt;=P1End,"Q1",IF(A962&lt;=P2End,"Q2",IF(A962&lt;=P3End,"Q3","Q4")))))</f>
        <v/>
      </c>
    </row>
    <row r="963">
      <c r="A963" s="17" t="n"/>
      <c r="D963" s="20" t="n"/>
      <c r="E963" s="19">
        <f>IF(A963="","",IF(OR(A963&lt;YearStart,A963&gt;YearEnd),"-",IF(A963&lt;=P1End,"Q1",IF(A963&lt;=P2End,"Q2",IF(A963&lt;=P3End,"Q3","Q4")))))</f>
        <v/>
      </c>
    </row>
    <row r="964">
      <c r="A964" s="17" t="n"/>
      <c r="D964" s="20" t="n"/>
      <c r="E964" s="19">
        <f>IF(A964="","",IF(OR(A964&lt;YearStart,A964&gt;YearEnd),"-",IF(A964&lt;=P1End,"Q1",IF(A964&lt;=P2End,"Q2",IF(A964&lt;=P3End,"Q3","Q4")))))</f>
        <v/>
      </c>
    </row>
    <row r="965">
      <c r="A965" s="17" t="n"/>
      <c r="D965" s="20" t="n"/>
      <c r="E965" s="19">
        <f>IF(A965="","",IF(OR(A965&lt;YearStart,A965&gt;YearEnd),"-",IF(A965&lt;=P1End,"Q1",IF(A965&lt;=P2End,"Q2",IF(A965&lt;=P3End,"Q3","Q4")))))</f>
        <v/>
      </c>
    </row>
    <row r="966">
      <c r="A966" s="17" t="n"/>
      <c r="D966" s="20" t="n"/>
      <c r="E966" s="19">
        <f>IF(A966="","",IF(OR(A966&lt;YearStart,A966&gt;YearEnd),"-",IF(A966&lt;=P1End,"Q1",IF(A966&lt;=P2End,"Q2",IF(A966&lt;=P3End,"Q3","Q4")))))</f>
        <v/>
      </c>
    </row>
    <row r="967">
      <c r="A967" s="17" t="n"/>
      <c r="D967" s="20" t="n"/>
      <c r="E967" s="19">
        <f>IF(A967="","",IF(OR(A967&lt;YearStart,A967&gt;YearEnd),"-",IF(A967&lt;=P1End,"Q1",IF(A967&lt;=P2End,"Q2",IF(A967&lt;=P3End,"Q3","Q4")))))</f>
        <v/>
      </c>
    </row>
    <row r="968">
      <c r="A968" s="17" t="n"/>
      <c r="D968" s="20" t="n"/>
      <c r="E968" s="19">
        <f>IF(A968="","",IF(OR(A968&lt;YearStart,A968&gt;YearEnd),"-",IF(A968&lt;=P1End,"Q1",IF(A968&lt;=P2End,"Q2",IF(A968&lt;=P3End,"Q3","Q4")))))</f>
        <v/>
      </c>
    </row>
    <row r="969">
      <c r="A969" s="17" t="n"/>
      <c r="D969" s="20" t="n"/>
      <c r="E969" s="19">
        <f>IF(A969="","",IF(OR(A969&lt;YearStart,A969&gt;YearEnd),"-",IF(A969&lt;=P1End,"Q1",IF(A969&lt;=P2End,"Q2",IF(A969&lt;=P3End,"Q3","Q4")))))</f>
        <v/>
      </c>
    </row>
    <row r="970">
      <c r="A970" s="17" t="n"/>
      <c r="D970" s="20" t="n"/>
      <c r="E970" s="19">
        <f>IF(A970="","",IF(OR(A970&lt;YearStart,A970&gt;YearEnd),"-",IF(A970&lt;=P1End,"Q1",IF(A970&lt;=P2End,"Q2",IF(A970&lt;=P3End,"Q3","Q4")))))</f>
        <v/>
      </c>
    </row>
    <row r="971">
      <c r="A971" s="17" t="n"/>
      <c r="D971" s="20" t="n"/>
      <c r="E971" s="19">
        <f>IF(A971="","",IF(OR(A971&lt;YearStart,A971&gt;YearEnd),"-",IF(A971&lt;=P1End,"Q1",IF(A971&lt;=P2End,"Q2",IF(A971&lt;=P3End,"Q3","Q4")))))</f>
        <v/>
      </c>
    </row>
    <row r="972">
      <c r="A972" s="17" t="n"/>
      <c r="D972" s="20" t="n"/>
      <c r="E972" s="19">
        <f>IF(A972="","",IF(OR(A972&lt;YearStart,A972&gt;YearEnd),"-",IF(A972&lt;=P1End,"Q1",IF(A972&lt;=P2End,"Q2",IF(A972&lt;=P3End,"Q3","Q4")))))</f>
        <v/>
      </c>
    </row>
    <row r="973">
      <c r="A973" s="17" t="n"/>
      <c r="D973" s="20" t="n"/>
      <c r="E973" s="19">
        <f>IF(A973="","",IF(OR(A973&lt;YearStart,A973&gt;YearEnd),"-",IF(A973&lt;=P1End,"Q1",IF(A973&lt;=P2End,"Q2",IF(A973&lt;=P3End,"Q3","Q4")))))</f>
        <v/>
      </c>
    </row>
    <row r="974">
      <c r="A974" s="17" t="n"/>
      <c r="D974" s="20" t="n"/>
      <c r="E974" s="19">
        <f>IF(A974="","",IF(OR(A974&lt;YearStart,A974&gt;YearEnd),"-",IF(A974&lt;=P1End,"Q1",IF(A974&lt;=P2End,"Q2",IF(A974&lt;=P3End,"Q3","Q4")))))</f>
        <v/>
      </c>
    </row>
    <row r="975">
      <c r="A975" s="17" t="n"/>
      <c r="D975" s="20" t="n"/>
      <c r="E975" s="19">
        <f>IF(A975="","",IF(OR(A975&lt;YearStart,A975&gt;YearEnd),"-",IF(A975&lt;=P1End,"Q1",IF(A975&lt;=P2End,"Q2",IF(A975&lt;=P3End,"Q3","Q4")))))</f>
        <v/>
      </c>
    </row>
    <row r="976">
      <c r="A976" s="17" t="n"/>
      <c r="D976" s="20" t="n"/>
      <c r="E976" s="19">
        <f>IF(A976="","",IF(OR(A976&lt;YearStart,A976&gt;YearEnd),"-",IF(A976&lt;=P1End,"Q1",IF(A976&lt;=P2End,"Q2",IF(A976&lt;=P3End,"Q3","Q4")))))</f>
        <v/>
      </c>
    </row>
    <row r="977">
      <c r="A977" s="17" t="n"/>
      <c r="D977" s="20" t="n"/>
      <c r="E977" s="19">
        <f>IF(A977="","",IF(OR(A977&lt;YearStart,A977&gt;YearEnd),"-",IF(A977&lt;=P1End,"Q1",IF(A977&lt;=P2End,"Q2",IF(A977&lt;=P3End,"Q3","Q4")))))</f>
        <v/>
      </c>
    </row>
    <row r="978">
      <c r="A978" s="17" t="n"/>
      <c r="D978" s="20" t="n"/>
      <c r="E978" s="19">
        <f>IF(A978="","",IF(OR(A978&lt;YearStart,A978&gt;YearEnd),"-",IF(A978&lt;=P1End,"Q1",IF(A978&lt;=P2End,"Q2",IF(A978&lt;=P3End,"Q3","Q4")))))</f>
        <v/>
      </c>
    </row>
    <row r="979">
      <c r="A979" s="17" t="n"/>
      <c r="D979" s="20" t="n"/>
      <c r="E979" s="19">
        <f>IF(A979="","",IF(OR(A979&lt;YearStart,A979&gt;YearEnd),"-",IF(A979&lt;=P1End,"Q1",IF(A979&lt;=P2End,"Q2",IF(A979&lt;=P3End,"Q3","Q4")))))</f>
        <v/>
      </c>
    </row>
    <row r="980">
      <c r="A980" s="17" t="n"/>
      <c r="D980" s="20" t="n"/>
      <c r="E980" s="19">
        <f>IF(A980="","",IF(OR(A980&lt;YearStart,A980&gt;YearEnd),"-",IF(A980&lt;=P1End,"Q1",IF(A980&lt;=P2End,"Q2",IF(A980&lt;=P3End,"Q3","Q4")))))</f>
        <v/>
      </c>
    </row>
    <row r="981">
      <c r="A981" s="17" t="n"/>
      <c r="D981" s="20" t="n"/>
      <c r="E981" s="19">
        <f>IF(A981="","",IF(OR(A981&lt;YearStart,A981&gt;YearEnd),"-",IF(A981&lt;=P1End,"Q1",IF(A981&lt;=P2End,"Q2",IF(A981&lt;=P3End,"Q3","Q4")))))</f>
        <v/>
      </c>
    </row>
    <row r="982">
      <c r="A982" s="17" t="n"/>
      <c r="D982" s="20" t="n"/>
      <c r="E982" s="19">
        <f>IF(A982="","",IF(OR(A982&lt;YearStart,A982&gt;YearEnd),"-",IF(A982&lt;=P1End,"Q1",IF(A982&lt;=P2End,"Q2",IF(A982&lt;=P3End,"Q3","Q4")))))</f>
        <v/>
      </c>
    </row>
    <row r="983">
      <c r="A983" s="17" t="n"/>
      <c r="D983" s="20" t="n"/>
      <c r="E983" s="19">
        <f>IF(A983="","",IF(OR(A983&lt;YearStart,A983&gt;YearEnd),"-",IF(A983&lt;=P1End,"Q1",IF(A983&lt;=P2End,"Q2",IF(A983&lt;=P3End,"Q3","Q4")))))</f>
        <v/>
      </c>
    </row>
    <row r="984">
      <c r="A984" s="17" t="n"/>
      <c r="D984" s="20" t="n"/>
      <c r="E984" s="19">
        <f>IF(A984="","",IF(OR(A984&lt;YearStart,A984&gt;YearEnd),"-",IF(A984&lt;=P1End,"Q1",IF(A984&lt;=P2End,"Q2",IF(A984&lt;=P3End,"Q3","Q4")))))</f>
        <v/>
      </c>
    </row>
    <row r="985">
      <c r="A985" s="17" t="n"/>
      <c r="D985" s="20" t="n"/>
      <c r="E985" s="19">
        <f>IF(A985="","",IF(OR(A985&lt;YearStart,A985&gt;YearEnd),"-",IF(A985&lt;=P1End,"Q1",IF(A985&lt;=P2End,"Q2",IF(A985&lt;=P3End,"Q3","Q4")))))</f>
        <v/>
      </c>
    </row>
    <row r="986">
      <c r="A986" s="17" t="n"/>
      <c r="D986" s="20" t="n"/>
      <c r="E986" s="19">
        <f>IF(A986="","",IF(OR(A986&lt;YearStart,A986&gt;YearEnd),"-",IF(A986&lt;=P1End,"Q1",IF(A986&lt;=P2End,"Q2",IF(A986&lt;=P3End,"Q3","Q4")))))</f>
        <v/>
      </c>
    </row>
    <row r="987">
      <c r="A987" s="17" t="n"/>
      <c r="D987" s="20" t="n"/>
      <c r="E987" s="19">
        <f>IF(A987="","",IF(OR(A987&lt;YearStart,A987&gt;YearEnd),"-",IF(A987&lt;=P1End,"Q1",IF(A987&lt;=P2End,"Q2",IF(A987&lt;=P3End,"Q3","Q4")))))</f>
        <v/>
      </c>
    </row>
    <row r="988">
      <c r="A988" s="17" t="n"/>
      <c r="D988" s="20" t="n"/>
      <c r="E988" s="19">
        <f>IF(A988="","",IF(OR(A988&lt;YearStart,A988&gt;YearEnd),"-",IF(A988&lt;=P1End,"Q1",IF(A988&lt;=P2End,"Q2",IF(A988&lt;=P3End,"Q3","Q4")))))</f>
        <v/>
      </c>
    </row>
    <row r="989">
      <c r="A989" s="17" t="n"/>
      <c r="D989" s="20" t="n"/>
      <c r="E989" s="19">
        <f>IF(A989="","",IF(OR(A989&lt;YearStart,A989&gt;YearEnd),"-",IF(A989&lt;=P1End,"Q1",IF(A989&lt;=P2End,"Q2",IF(A989&lt;=P3End,"Q3","Q4")))))</f>
        <v/>
      </c>
    </row>
    <row r="990">
      <c r="A990" s="17" t="n"/>
      <c r="D990" s="20" t="n"/>
      <c r="E990" s="19">
        <f>IF(A990="","",IF(OR(A990&lt;YearStart,A990&gt;YearEnd),"-",IF(A990&lt;=P1End,"Q1",IF(A990&lt;=P2End,"Q2",IF(A990&lt;=P3End,"Q3","Q4")))))</f>
        <v/>
      </c>
    </row>
    <row r="991">
      <c r="A991" s="17" t="n"/>
      <c r="D991" s="20" t="n"/>
      <c r="E991" s="19">
        <f>IF(A991="","",IF(OR(A991&lt;YearStart,A991&gt;YearEnd),"-",IF(A991&lt;=P1End,"Q1",IF(A991&lt;=P2End,"Q2",IF(A991&lt;=P3End,"Q3","Q4")))))</f>
        <v/>
      </c>
    </row>
    <row r="992">
      <c r="A992" s="17" t="n"/>
      <c r="D992" s="20" t="n"/>
      <c r="E992" s="19">
        <f>IF(A992="","",IF(OR(A992&lt;YearStart,A992&gt;YearEnd),"-",IF(A992&lt;=P1End,"Q1",IF(A992&lt;=P2End,"Q2",IF(A992&lt;=P3End,"Q3","Q4")))))</f>
        <v/>
      </c>
    </row>
    <row r="993">
      <c r="A993" s="17" t="n"/>
      <c r="D993" s="20" t="n"/>
      <c r="E993" s="19">
        <f>IF(A993="","",IF(OR(A993&lt;YearStart,A993&gt;YearEnd),"-",IF(A993&lt;=P1End,"Q1",IF(A993&lt;=P2End,"Q2",IF(A993&lt;=P3End,"Q3","Q4")))))</f>
        <v/>
      </c>
    </row>
    <row r="994">
      <c r="A994" s="17" t="n"/>
      <c r="D994" s="20" t="n"/>
      <c r="E994" s="19">
        <f>IF(A994="","",IF(OR(A994&lt;YearStart,A994&gt;YearEnd),"-",IF(A994&lt;=P1End,"Q1",IF(A994&lt;=P2End,"Q2",IF(A994&lt;=P3End,"Q3","Q4")))))</f>
        <v/>
      </c>
    </row>
    <row r="995">
      <c r="A995" s="17" t="n"/>
      <c r="D995" s="20" t="n"/>
      <c r="E995" s="19">
        <f>IF(A995="","",IF(OR(A995&lt;YearStart,A995&gt;YearEnd),"-",IF(A995&lt;=P1End,"Q1",IF(A995&lt;=P2End,"Q2",IF(A995&lt;=P3End,"Q3","Q4")))))</f>
        <v/>
      </c>
    </row>
    <row r="996">
      <c r="A996" s="17" t="n"/>
      <c r="D996" s="20" t="n"/>
      <c r="E996" s="19">
        <f>IF(A996="","",IF(OR(A996&lt;YearStart,A996&gt;YearEnd),"-",IF(A996&lt;=P1End,"Q1",IF(A996&lt;=P2End,"Q2",IF(A996&lt;=P3End,"Q3","Q4")))))</f>
        <v/>
      </c>
    </row>
    <row r="997">
      <c r="A997" s="17" t="n"/>
      <c r="D997" s="20" t="n"/>
      <c r="E997" s="19">
        <f>IF(A997="","",IF(OR(A997&lt;YearStart,A997&gt;YearEnd),"-",IF(A997&lt;=P1End,"Q1",IF(A997&lt;=P2End,"Q2",IF(A997&lt;=P3End,"Q3","Q4")))))</f>
        <v/>
      </c>
    </row>
    <row r="998">
      <c r="A998" s="17" t="n"/>
      <c r="D998" s="20" t="n"/>
      <c r="E998" s="19">
        <f>IF(A998="","",IF(OR(A998&lt;YearStart,A998&gt;YearEnd),"-",IF(A998&lt;=P1End,"Q1",IF(A998&lt;=P2End,"Q2",IF(A998&lt;=P3End,"Q3","Q4")))))</f>
        <v/>
      </c>
    </row>
    <row r="999">
      <c r="A999" s="17" t="n"/>
      <c r="D999" s="20" t="n"/>
      <c r="E999" s="19">
        <f>IF(A999="","",IF(OR(A999&lt;YearStart,A999&gt;YearEnd),"-",IF(A999&lt;=P1End,"Q1",IF(A999&lt;=P2End,"Q2",IF(A999&lt;=P3End,"Q3","Q4")))))</f>
        <v/>
      </c>
    </row>
    <row r="1000">
      <c r="A1000" s="17" t="n"/>
      <c r="D1000" s="20" t="n"/>
      <c r="E1000" s="19">
        <f>IF(A1000="","",IF(OR(A1000&lt;YearStart,A1000&gt;YearEnd),"-",IF(A1000&lt;=P1End,"Q1",IF(A1000&lt;=P2End,"Q2",IF(A1000&lt;=P3End,"Q3","Q4")))))</f>
        <v/>
      </c>
    </row>
    <row r="1001">
      <c r="A1001" s="17" t="n"/>
      <c r="D1001" s="20" t="n"/>
      <c r="E1001" s="19">
        <f>IF(A1001="","",IF(OR(A1001&lt;YearStart,A1001&gt;YearEnd),"-",IF(A1001&lt;=P1End,"Q1",IF(A1001&lt;=P2End,"Q2",IF(A1001&lt;=P3End,"Q3","Q4")))))</f>
        <v/>
      </c>
    </row>
    <row r="1002">
      <c r="A1002" s="17" t="n"/>
      <c r="D1002" s="20" t="n"/>
      <c r="E1002" s="19">
        <f>IF(A1002="","",IF(OR(A1002&lt;YearStart,A1002&gt;YearEnd),"-",IF(A1002&lt;=P1End,"Q1",IF(A1002&lt;=P2End,"Q2",IF(A1002&lt;=P3End,"Q3","Q4")))))</f>
        <v/>
      </c>
    </row>
    <row r="1003">
      <c r="A1003" s="17" t="n"/>
      <c r="D1003" s="20" t="n"/>
      <c r="E1003" s="19">
        <f>IF(A1003="","",IF(OR(A1003&lt;YearStart,A1003&gt;YearEnd),"-",IF(A1003&lt;=P1End,"Q1",IF(A1003&lt;=P2End,"Q2",IF(A1003&lt;=P3End,"Q3","Q4")))))</f>
        <v/>
      </c>
    </row>
    <row r="1004">
      <c r="A1004" s="17" t="n"/>
      <c r="D1004" s="20" t="n"/>
      <c r="E1004" s="19">
        <f>IF(A1004="","",IF(OR(A1004&lt;YearStart,A1004&gt;YearEnd),"-",IF(A1004&lt;=P1End,"Q1",IF(A1004&lt;=P2End,"Q2",IF(A1004&lt;=P3End,"Q3","Q4")))))</f>
        <v/>
      </c>
    </row>
  </sheetData>
  <dataValidations count="2">
    <dataValidation sqref="C5:C1004" showDropDown="0" showInputMessage="0" showErrorMessage="0" allowBlank="1" type="list">
      <formula1>list_Vehicle</formula1>
    </dataValidation>
    <dataValidation sqref="D5:D10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quillfox</dc:creator>
  <dc:title>Making Tax Digital for Income Tax: quarterly records</dc:title>
  <dcterms:created xsi:type="dcterms:W3CDTF">2026-10-13T15:08:27Z</dcterms:created>
  <dcterms:modified xsi:type="dcterms:W3CDTF">2026-10-13T15:08:27Z</dcterms:modified>
</cp:coreProperties>
</file>